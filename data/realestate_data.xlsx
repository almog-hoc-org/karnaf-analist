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ערים - נתוני יסוד" sheetId="1" state="visible" r:id="rId1"/>
    <sheet name="היתרי בנייה לפי שנה" sheetId="2" state="visible" r:id="rId2"/>
    <sheet name="מכירות חדשות" sheetId="3" state="visible" r:id="rId3"/>
    <sheet name="אוכלוסייה - מגמות" sheetId="4" state="visible" r:id="rId4"/>
    <sheet name="נתוני יד2" sheetId="5" state="visible" r:id="rId5"/>
    <sheet name="אוכלוסייה לפי שנה" sheetId="6" state="visible" r:id="rId6"/>
    <sheet name="מקורות" sheetId="7" state="visible" r:id="rId7"/>
  </sheets>
  <definedNames>
    <definedName name="_xlnm._FilterDatabase" localSheetId="0" hidden="1">'ערים - נתוני יסוד'!$A$1:$X$169</definedName>
    <definedName name="_xlnm._FilterDatabase" localSheetId="1" hidden="1">'היתרי בנייה לפי שנה'!$A$1:$L$169</definedName>
    <definedName name="_xlnm._FilterDatabase" localSheetId="2" hidden="1">'מכירות חדשות'!$A$1:$H$23</definedName>
    <definedName name="_xlnm._FilterDatabase" localSheetId="3" hidden="1">'אוכלוסייה - מגמות'!$A$1:$G$157</definedName>
    <definedName name="_xlnm._FilterDatabase" localSheetId="4" hidden="1">'נתוני יד2'!$A$1:$K$47</definedName>
    <definedName name="_xlnm._FilterDatabase" localSheetId="5" hidden="1">'אוכלוסייה לפי שנה'!$A$1:$M$168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&quot;%&quot;"/>
    <numFmt numFmtId="165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8F0FE"/>
        <bgColor rgb="00E8F0FE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EC"/>
      </patternFill>
    </fill>
  </fills>
  <borders count="3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 readingOrder="2"/>
    </xf>
    <xf numFmtId="0" fontId="2" fillId="0" borderId="1" applyAlignment="1" pivotButton="0" quotePrefix="0" xfId="0">
      <alignment horizontal="right" readingOrder="2"/>
    </xf>
    <xf numFmtId="3" fontId="2" fillId="0" borderId="1" applyAlignment="1" pivotButton="0" quotePrefix="0" xfId="0">
      <alignment horizontal="center" readingOrder="2"/>
    </xf>
    <xf numFmtId="4" fontId="2" fillId="0" borderId="1" applyAlignment="1" pivotButton="0" quotePrefix="0" xfId="0">
      <alignment horizontal="center" readingOrder="2"/>
    </xf>
    <xf numFmtId="164" fontId="2" fillId="0" borderId="1" applyAlignment="1" pivotButton="0" quotePrefix="0" xfId="0">
      <alignment horizontal="center" readingOrder="2"/>
    </xf>
    <xf numFmtId="0" fontId="2" fillId="3" borderId="1" applyAlignment="1" pivotButton="0" quotePrefix="0" xfId="0">
      <alignment horizontal="right" readingOrder="2"/>
    </xf>
    <xf numFmtId="3" fontId="2" fillId="3" borderId="1" applyAlignment="1" pivotButton="0" quotePrefix="0" xfId="0">
      <alignment horizontal="center" readingOrder="2"/>
    </xf>
    <xf numFmtId="4" fontId="2" fillId="3" borderId="1" applyAlignment="1" pivotButton="0" quotePrefix="0" xfId="0">
      <alignment horizontal="center" readingOrder="2"/>
    </xf>
    <xf numFmtId="164" fontId="2" fillId="3" borderId="1" applyAlignment="1" pivotButton="0" quotePrefix="0" xfId="0">
      <alignment horizontal="center" readingOrder="2"/>
    </xf>
    <xf numFmtId="3" fontId="3" fillId="0" borderId="1" applyAlignment="1" pivotButton="0" quotePrefix="0" xfId="0">
      <alignment horizontal="center" readingOrder="2"/>
    </xf>
    <xf numFmtId="3" fontId="3" fillId="3" borderId="1" applyAlignment="1" pivotButton="0" quotePrefix="0" xfId="0">
      <alignment horizontal="center" readingOrder="2"/>
    </xf>
    <xf numFmtId="0" fontId="1" fillId="4" borderId="2" applyAlignment="1" pivotButton="0" quotePrefix="0" xfId="0">
      <alignment horizontal="center" vertical="center" readingOrder="2"/>
    </xf>
    <xf numFmtId="0" fontId="2" fillId="0" borderId="2" applyAlignment="1" pivotButton="0" quotePrefix="0" xfId="0">
      <alignment horizontal="right" vertical="center" readingOrder="2"/>
    </xf>
    <xf numFmtId="0" fontId="2" fillId="0" borderId="2" applyAlignment="1" pivotButton="0" quotePrefix="0" xfId="0">
      <alignment horizontal="center" vertical="center" readingOrder="2"/>
    </xf>
    <xf numFmtId="165" fontId="2" fillId="5" borderId="2" applyAlignment="1" pivotButton="0" quotePrefix="0" xfId="0">
      <alignment horizontal="center" vertical="center" readingOrder="2"/>
    </xf>
    <xf numFmtId="165" fontId="2" fillId="0" borderId="2" applyAlignment="1" pivotButton="0" quotePrefix="0" xfId="0">
      <alignment horizontal="center" vertical="center" readingOrder="2"/>
    </xf>
    <xf numFmtId="165" fontId="2" fillId="6" borderId="2" applyAlignment="1" pivotButton="0" quotePrefix="0" xfId="0">
      <alignment horizontal="center" vertical="center" readingOrder="2"/>
    </xf>
    <xf numFmtId="3" fontId="2" fillId="0" borderId="2" applyAlignment="1" pivotButton="0" quotePrefix="0" xfId="0">
      <alignment horizontal="center" vertic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  <col width="12" customWidth="1" min="15" max="15"/>
    <col width="16" customWidth="1" min="16" max="16"/>
    <col width="14" customWidth="1" min="17" max="17"/>
    <col width="12" customWidth="1" min="18" max="18"/>
    <col width="12" customWidth="1" min="19" max="19"/>
    <col width="12" customWidth="1" min="20" max="20"/>
    <col width="12" customWidth="1" min="21" max="21"/>
    <col width="18" customWidth="1" min="22" max="22"/>
    <col width="18" customWidth="1" min="23" max="23"/>
    <col width="18" customWidth="1" min="24" max="24"/>
  </cols>
  <sheetData>
    <row r="1">
      <c r="A1" s="1" t="inlineStr">
        <is>
          <t>עיר</t>
        </is>
      </c>
      <c r="B1" s="1" t="inlineStr">
        <is>
          <t>אוכלוסייה 2021</t>
        </is>
      </c>
      <c r="C1" s="1" t="inlineStr">
        <is>
          <t>אוכלוסייה 2022</t>
        </is>
      </c>
      <c r="D1" s="1" t="inlineStr">
        <is>
          <t>אוכלוסייה 2024</t>
        </is>
      </c>
      <c r="E1" s="1" t="inlineStr">
        <is>
          <t>אוכלוסייה 2026</t>
        </is>
      </c>
      <c r="F1" s="1" t="inlineStr">
        <is>
          <t>משקי בית 2022</t>
        </is>
      </c>
      <c r="G1" s="1" t="inlineStr">
        <is>
          <t>גודל משק בית ממוצע</t>
        </is>
      </c>
      <c r="H1" s="1" t="inlineStr">
        <is>
          <t>נפשות לדירה</t>
        </is>
      </c>
      <c r="I1" s="1" t="inlineStr">
        <is>
          <t>בנייה גולמית 4 שנים</t>
        </is>
      </c>
      <c r="J1" s="1" t="inlineStr">
        <is>
          <t>מקדם נטו</t>
        </is>
      </c>
      <c r="K1" s="1" t="inlineStr">
        <is>
          <t>מחיר למ"ר 2023</t>
        </is>
      </c>
      <c r="L1" s="1" t="inlineStr">
        <is>
          <t>מחיר למ"ר 2026</t>
        </is>
      </c>
      <c r="M1" s="1" t="inlineStr">
        <is>
          <t>שינוי מחיר %</t>
        </is>
      </c>
      <c r="N1" s="1" t="inlineStr">
        <is>
          <t>סה"כ דירות</t>
        </is>
      </c>
      <c r="O1" s="1" t="inlineStr">
        <is>
          <t>בנייה נטו</t>
        </is>
      </c>
      <c r="P1" s="1" t="inlineStr">
        <is>
          <t>גידול אוכלוסייה מוחלט</t>
        </is>
      </c>
      <c r="Q1" s="1" t="inlineStr">
        <is>
          <t>גידול אוכלוסייה %</t>
        </is>
      </c>
      <c r="R1" s="1" t="inlineStr">
        <is>
          <t>דירות נדרשות</t>
        </is>
      </c>
      <c r="S1" s="1" t="inlineStr">
        <is>
          <t>גידול דירות</t>
        </is>
      </c>
      <c r="T1" s="1" t="inlineStr">
        <is>
          <t>מכפיל מוזהב</t>
        </is>
      </c>
      <c r="U1" s="1" t="inlineStr">
        <is>
          <t>אחוז מוזהב %</t>
        </is>
      </c>
      <c r="V1" s="1" t="inlineStr">
        <is>
          <t>יחידות חידוש עירוני קיימות</t>
        </is>
      </c>
      <c r="W1" s="1" t="inlineStr">
        <is>
          <t>יחידות חידוש עירוני מוצעות</t>
        </is>
      </c>
      <c r="X1" s="1" t="inlineStr">
        <is>
          <t>סטטוס חידוש עירוני</t>
        </is>
      </c>
    </row>
    <row r="2">
      <c r="A2" s="2" t="inlineStr">
        <is>
          <t>ירושלים</t>
        </is>
      </c>
      <c r="B2" s="3" t="n">
        <v>966210</v>
      </c>
      <c r="C2" s="3" t="n">
        <v>1005919</v>
      </c>
      <c r="D2" s="3" t="n">
        <v>1050151</v>
      </c>
      <c r="E2" s="3" t="n">
        <v>1046300</v>
      </c>
      <c r="F2" s="3" t="n">
        <v>269857</v>
      </c>
      <c r="G2" s="4" t="n">
        <v>3.7</v>
      </c>
      <c r="H2" s="4" t="n">
        <v>4</v>
      </c>
      <c r="I2" s="3" t="n">
        <v>23382</v>
      </c>
      <c r="J2" s="4" t="n">
        <v>0.85</v>
      </c>
      <c r="K2" s="3" t="n">
        <v>32000</v>
      </c>
      <c r="L2" s="3" t="n">
        <v>36500</v>
      </c>
      <c r="M2" s="5" t="n">
        <v>0.140625</v>
      </c>
      <c r="N2" s="3" t="n">
        <v>261575</v>
      </c>
      <c r="O2" s="3" t="n">
        <v>19874.7</v>
      </c>
      <c r="P2" s="3" t="n">
        <v>80090</v>
      </c>
      <c r="Q2" s="5" t="n">
        <v>0.08289088293435175</v>
      </c>
      <c r="R2" s="4" t="n">
        <v>20022.5</v>
      </c>
      <c r="S2" s="4" t="n">
        <v>0.07598088502341585</v>
      </c>
      <c r="T2" s="4" t="n">
        <v>0.9926183044075415</v>
      </c>
      <c r="U2" s="5" t="n">
        <v>-0.7381695592458493</v>
      </c>
      <c r="V2" s="3" t="n"/>
      <c r="W2" s="3" t="n"/>
      <c r="X2" s="2" t="n"/>
    </row>
    <row r="3">
      <c r="A3" s="6" t="inlineStr">
        <is>
          <t>תל אביב-יפו</t>
        </is>
      </c>
      <c r="B3" s="7" t="n">
        <v>467875</v>
      </c>
      <c r="C3" s="7" t="n">
        <v>492872</v>
      </c>
      <c r="D3" s="7" t="n">
        <v>494900</v>
      </c>
      <c r="E3" s="7" t="n">
        <v>464300</v>
      </c>
      <c r="F3" s="7" t="n">
        <v>210336</v>
      </c>
      <c r="G3" s="8" t="n">
        <v>2.2</v>
      </c>
      <c r="H3" s="8" t="n">
        <v>2.1</v>
      </c>
      <c r="I3" s="7" t="n">
        <v>23750</v>
      </c>
      <c r="J3" s="8" t="n">
        <v>0.9</v>
      </c>
      <c r="K3" s="7" t="n">
        <v>52500</v>
      </c>
      <c r="L3" s="7" t="n">
        <v>57000</v>
      </c>
      <c r="M3" s="9" t="n">
        <v>0.08571428571428572</v>
      </c>
      <c r="N3" s="7" t="n">
        <v>221095.2380952381</v>
      </c>
      <c r="O3" s="7" t="n">
        <v>21375</v>
      </c>
      <c r="P3" s="7" t="n">
        <v>-3575</v>
      </c>
      <c r="Q3" s="9" t="n">
        <v>-0.007640929735506279</v>
      </c>
      <c r="R3" s="8" t="n">
        <v>-1702.380952380952</v>
      </c>
      <c r="S3" s="8" t="n">
        <v>0.09667779452939911</v>
      </c>
      <c r="T3" s="8" t="n">
        <v>-12.55594405594406</v>
      </c>
      <c r="U3" s="9" t="n">
        <v>-1355.594405594406</v>
      </c>
      <c r="V3" s="7" t="n"/>
      <c r="W3" s="7" t="n"/>
      <c r="X3" s="6" t="n"/>
    </row>
    <row r="4">
      <c r="A4" s="2" t="inlineStr">
        <is>
          <t>חיפה</t>
        </is>
      </c>
      <c r="B4" s="3" t="n">
        <v>282832</v>
      </c>
      <c r="C4" s="3" t="n">
        <v>289507</v>
      </c>
      <c r="D4" s="3" t="n">
        <v>297083</v>
      </c>
      <c r="E4" s="3" t="n">
        <v>295700</v>
      </c>
      <c r="F4" s="3" t="n">
        <v>115871</v>
      </c>
      <c r="G4" s="4" t="n">
        <v>2.4</v>
      </c>
      <c r="H4" s="4" t="n">
        <v>2.3</v>
      </c>
      <c r="I4" s="3" t="n">
        <v>5747</v>
      </c>
      <c r="J4" s="4" t="n">
        <v>0.85</v>
      </c>
      <c r="K4" s="3" t="n">
        <v>14000</v>
      </c>
      <c r="L4" s="3" t="n">
        <v>16500</v>
      </c>
      <c r="M4" s="5" t="n">
        <v>0.1785714285714286</v>
      </c>
      <c r="N4" s="3" t="n">
        <v>128565.2173913044</v>
      </c>
      <c r="O4" s="3" t="n">
        <v>4884.95</v>
      </c>
      <c r="P4" s="3" t="n">
        <v>12868</v>
      </c>
      <c r="Q4" s="5" t="n">
        <v>0.0454969734683487</v>
      </c>
      <c r="R4" s="4" t="n">
        <v>5594.782608695653</v>
      </c>
      <c r="S4" s="4" t="n">
        <v>0.03799589110585052</v>
      </c>
      <c r="T4" s="4" t="n">
        <v>0.8731259714019272</v>
      </c>
      <c r="U4" s="5" t="n">
        <v>-12.68740285980728</v>
      </c>
      <c r="V4" s="3" t="n">
        <v>14500</v>
      </c>
      <c r="W4" s="3" t="n">
        <v>58000</v>
      </c>
      <c r="X4" s="2" t="inlineStr">
        <is>
          <t>בדיקה תכנונית מוקדמת</t>
        </is>
      </c>
    </row>
    <row r="5">
      <c r="A5" s="6" t="inlineStr">
        <is>
          <t>פתח תקווה</t>
        </is>
      </c>
      <c r="B5" s="7" t="n">
        <v>252270</v>
      </c>
      <c r="C5" s="7" t="n">
        <v>264046</v>
      </c>
      <c r="D5" s="7" t="n">
        <v>270403</v>
      </c>
      <c r="E5" s="7" t="n">
        <v>278570</v>
      </c>
      <c r="F5" s="7" t="n">
        <v>90303</v>
      </c>
      <c r="G5" s="8" t="n">
        <v>2.8</v>
      </c>
      <c r="H5" s="8" t="n">
        <v>2.9</v>
      </c>
      <c r="I5" s="7" t="n">
        <v>8343</v>
      </c>
      <c r="J5" s="8" t="n">
        <v>0.85</v>
      </c>
      <c r="K5" s="7" t="n">
        <v>25500</v>
      </c>
      <c r="L5" s="7" t="n">
        <v>29200</v>
      </c>
      <c r="M5" s="9" t="n">
        <v>0.1450980392156863</v>
      </c>
      <c r="N5" s="7" t="n">
        <v>96058.62068965517</v>
      </c>
      <c r="O5" s="7" t="n">
        <v>7091.55</v>
      </c>
      <c r="P5" s="7" t="n">
        <v>26300</v>
      </c>
      <c r="Q5" s="9" t="n">
        <v>0.1042533793158124</v>
      </c>
      <c r="R5" s="8" t="n">
        <v>9068.96551724138</v>
      </c>
      <c r="S5" s="8" t="n">
        <v>0.07382523243708942</v>
      </c>
      <c r="T5" s="8" t="n">
        <v>0.7819579847908744</v>
      </c>
      <c r="U5" s="9" t="n">
        <v>-21.80420152091256</v>
      </c>
      <c r="V5" s="7" t="n"/>
      <c r="W5" s="7" t="n"/>
      <c r="X5" s="6" t="inlineStr">
        <is>
          <t>פרסום הפקדה</t>
        </is>
      </c>
    </row>
    <row r="6">
      <c r="A6" s="2" t="inlineStr">
        <is>
          <t>ראשון לציון</t>
        </is>
      </c>
      <c r="B6" s="3" t="n">
        <v>257128</v>
      </c>
      <c r="C6" s="3" t="n">
        <v>252413</v>
      </c>
      <c r="D6" s="3" t="n">
        <v>259275</v>
      </c>
      <c r="E6" s="3" t="n">
        <v>271200</v>
      </c>
      <c r="F6" s="3" t="n">
        <v>92930</v>
      </c>
      <c r="G6" s="4" t="n">
        <v>2.6</v>
      </c>
      <c r="H6" s="4" t="n">
        <v>2.8</v>
      </c>
      <c r="I6" s="3" t="n">
        <v>6662</v>
      </c>
      <c r="J6" s="4" t="n">
        <v>0.85</v>
      </c>
      <c r="K6" s="3" t="n">
        <v>28000</v>
      </c>
      <c r="L6" s="3" t="n">
        <v>30500</v>
      </c>
      <c r="M6" s="5" t="n">
        <v>0.08928571428571429</v>
      </c>
      <c r="N6" s="3" t="n">
        <v>96857.14285714287</v>
      </c>
      <c r="O6" s="3" t="n">
        <v>5662.7</v>
      </c>
      <c r="P6" s="3" t="n">
        <v>14072</v>
      </c>
      <c r="Q6" s="5" t="n">
        <v>0.05472760648393019</v>
      </c>
      <c r="R6" s="4" t="n">
        <v>5025.714285714286</v>
      </c>
      <c r="S6" s="4" t="n">
        <v>0.05846445427728612</v>
      </c>
      <c r="T6" s="4" t="n">
        <v>1.126745309835133</v>
      </c>
      <c r="U6" s="5" t="n">
        <v>12.67453098351334</v>
      </c>
      <c r="V6" s="3" t="n">
        <v>22565</v>
      </c>
      <c r="W6" s="3" t="n">
        <v>29980</v>
      </c>
      <c r="X6" s="2" t="inlineStr">
        <is>
          <t>דיון נוסף להפקדה</t>
        </is>
      </c>
    </row>
    <row r="7">
      <c r="A7" s="6" t="inlineStr">
        <is>
          <t>נתניה</t>
        </is>
      </c>
      <c r="B7" s="7" t="n">
        <v>224066</v>
      </c>
      <c r="C7" s="7" t="n">
        <v>223920</v>
      </c>
      <c r="D7" s="7" t="n">
        <v>234812</v>
      </c>
      <c r="E7" s="7" t="n">
        <v>241844</v>
      </c>
      <c r="F7" s="7" t="n">
        <v>80537</v>
      </c>
      <c r="G7" s="8" t="n">
        <v>2.7</v>
      </c>
      <c r="H7" s="8" t="n">
        <v>2.8</v>
      </c>
      <c r="I7" s="7" t="n">
        <v>8415</v>
      </c>
      <c r="J7" s="8" t="n">
        <v>0.8</v>
      </c>
      <c r="K7" s="7" t="n">
        <v>24500</v>
      </c>
      <c r="L7" s="7" t="n">
        <v>26500</v>
      </c>
      <c r="M7" s="9" t="n">
        <v>0.08163265306122448</v>
      </c>
      <c r="N7" s="7" t="n">
        <v>86372.85714285714</v>
      </c>
      <c r="O7" s="7" t="n">
        <v>6732</v>
      </c>
      <c r="P7" s="7" t="n">
        <v>17778</v>
      </c>
      <c r="Q7" s="9" t="n">
        <v>0.0793426936706149</v>
      </c>
      <c r="R7" s="8" t="n">
        <v>6349.285714285715</v>
      </c>
      <c r="S7" s="8" t="n">
        <v>0.07794115214766544</v>
      </c>
      <c r="T7" s="8" t="n">
        <v>1.060276746540668</v>
      </c>
      <c r="U7" s="9" t="n">
        <v>6.027674654066817</v>
      </c>
      <c r="V7" s="7" t="n"/>
      <c r="W7" s="7" t="n"/>
      <c r="X7" s="6" t="n"/>
    </row>
    <row r="8">
      <c r="A8" s="2" t="inlineStr">
        <is>
          <t>אשדוד</t>
        </is>
      </c>
      <c r="B8" s="3" t="n">
        <v>223500</v>
      </c>
      <c r="C8" s="3" t="n">
        <v>227865</v>
      </c>
      <c r="D8" s="3" t="n">
        <v>228562</v>
      </c>
      <c r="E8" s="3" t="n">
        <v>227330</v>
      </c>
      <c r="F8" s="3" t="n">
        <v>74075</v>
      </c>
      <c r="G8" s="4" t="n">
        <v>3</v>
      </c>
      <c r="H8" s="4" t="n">
        <v>3.2</v>
      </c>
      <c r="I8" s="3" t="n">
        <v>8304</v>
      </c>
      <c r="J8" s="4" t="n">
        <v>0.9</v>
      </c>
      <c r="K8" s="3" t="n">
        <v>21500</v>
      </c>
      <c r="L8" s="3" t="n">
        <v>23500</v>
      </c>
      <c r="M8" s="5" t="n">
        <v>0.09302325581395349</v>
      </c>
      <c r="N8" s="3" t="n">
        <v>71040.625</v>
      </c>
      <c r="O8" s="3" t="n">
        <v>7473.6</v>
      </c>
      <c r="P8" s="3" t="n">
        <v>3830</v>
      </c>
      <c r="Q8" s="5" t="n">
        <v>0.01713646532438479</v>
      </c>
      <c r="R8" s="4" t="n">
        <v>1196.875</v>
      </c>
      <c r="S8" s="4" t="n">
        <v>0.1052017771521577</v>
      </c>
      <c r="T8" s="4" t="n">
        <v>6.244261096605745</v>
      </c>
      <c r="U8" s="5" t="n">
        <v>524.4261096605744</v>
      </c>
      <c r="V8" s="3" t="n">
        <v>3732</v>
      </c>
      <c r="W8" s="3" t="n">
        <v>11110</v>
      </c>
      <c r="X8" s="2" t="inlineStr">
        <is>
          <t>בדיקה תכנונית מוקדמת</t>
        </is>
      </c>
    </row>
    <row r="9">
      <c r="A9" s="6" t="inlineStr">
        <is>
          <t>בני ברק</t>
        </is>
      </c>
      <c r="B9" s="7" t="n">
        <v>212395</v>
      </c>
      <c r="C9" s="7" t="n">
        <v>216869</v>
      </c>
      <c r="D9" s="7" t="n">
        <v>229995</v>
      </c>
      <c r="E9" s="7" t="n">
        <v>225500</v>
      </c>
      <c r="F9" s="7" t="n">
        <v>49846</v>
      </c>
      <c r="G9" s="8" t="n">
        <v>4.2</v>
      </c>
      <c r="H9" s="8" t="n">
        <v>4.6</v>
      </c>
      <c r="I9" s="7" t="n">
        <v>3464</v>
      </c>
      <c r="J9" s="8" t="n">
        <v>0.8</v>
      </c>
      <c r="K9" s="7" t="n">
        <v>26500</v>
      </c>
      <c r="L9" s="7" t="n">
        <v>28000</v>
      </c>
      <c r="M9" s="9" t="n">
        <v>0.05660377358490566</v>
      </c>
      <c r="N9" s="7" t="n">
        <v>49021.73913043478</v>
      </c>
      <c r="O9" s="7" t="n">
        <v>2771.2</v>
      </c>
      <c r="P9" s="7" t="n">
        <v>13105</v>
      </c>
      <c r="Q9" s="9" t="n">
        <v>0.06170107582570211</v>
      </c>
      <c r="R9" s="8" t="n">
        <v>2848.913043478261</v>
      </c>
      <c r="S9" s="8" t="n">
        <v>0.05653002217294901</v>
      </c>
      <c r="T9" s="8" t="n">
        <v>0.9727218618847768</v>
      </c>
      <c r="U9" s="9" t="n">
        <v>-2.727813811522317</v>
      </c>
      <c r="V9" s="7" t="n">
        <v>281953</v>
      </c>
      <c r="W9" s="7" t="n">
        <v>664361</v>
      </c>
      <c r="X9" s="6" t="inlineStr">
        <is>
          <t>פעיל</t>
        </is>
      </c>
    </row>
    <row r="10">
      <c r="A10" s="2" t="inlineStr">
        <is>
          <t>באר שבע</t>
        </is>
      </c>
      <c r="B10" s="3" t="n">
        <v>211251</v>
      </c>
      <c r="C10" s="3" t="n">
        <v>217577</v>
      </c>
      <c r="D10" s="3" t="n">
        <v>223587</v>
      </c>
      <c r="E10" s="3" t="n">
        <v>219000</v>
      </c>
      <c r="F10" s="3" t="n">
        <v>81560</v>
      </c>
      <c r="G10" s="4" t="n">
        <v>2.6</v>
      </c>
      <c r="H10" s="4" t="n">
        <v>2.5</v>
      </c>
      <c r="I10" s="3" t="n">
        <v>5085</v>
      </c>
      <c r="J10" s="4" t="n">
        <v>0.97</v>
      </c>
      <c r="K10" s="3" t="n">
        <v>11500</v>
      </c>
      <c r="L10" s="3" t="n">
        <v>14500</v>
      </c>
      <c r="M10" s="5" t="n">
        <v>0.2608695652173913</v>
      </c>
      <c r="N10" s="3" t="n">
        <v>87600</v>
      </c>
      <c r="O10" s="3" t="n">
        <v>4932.45</v>
      </c>
      <c r="P10" s="3" t="n">
        <v>7749</v>
      </c>
      <c r="Q10" s="5" t="n">
        <v>0.03668148316457674</v>
      </c>
      <c r="R10" s="4" t="n">
        <v>3099.6</v>
      </c>
      <c r="S10" s="4" t="n">
        <v>0.05630650684931507</v>
      </c>
      <c r="T10" s="4" t="n">
        <v>1.591318234610918</v>
      </c>
      <c r="U10" s="5" t="n">
        <v>59.13182346109176</v>
      </c>
      <c r="V10" s="3" t="n"/>
      <c r="W10" s="3" t="n"/>
      <c r="X10" s="2" t="inlineStr">
        <is>
          <t>פרסום הפקדה</t>
        </is>
      </c>
    </row>
    <row r="11">
      <c r="A11" s="6" t="inlineStr">
        <is>
          <t>חולון</t>
        </is>
      </c>
      <c r="B11" s="7" t="n">
        <v>197464</v>
      </c>
      <c r="C11" s="7" t="n">
        <v>192655</v>
      </c>
      <c r="D11" s="7" t="n">
        <v>191829</v>
      </c>
      <c r="E11" s="7" t="n">
        <v>196282</v>
      </c>
      <c r="F11" s="7" t="n">
        <v>70954</v>
      </c>
      <c r="G11" s="8" t="n">
        <v>2.7</v>
      </c>
      <c r="H11" s="8" t="n">
        <v>2.7</v>
      </c>
      <c r="I11" s="7" t="n">
        <v>2262</v>
      </c>
      <c r="J11" s="8" t="n">
        <v>0.75</v>
      </c>
      <c r="K11" s="7" t="n">
        <v>27000</v>
      </c>
      <c r="L11" s="7" t="n">
        <v>29000</v>
      </c>
      <c r="M11" s="9" t="n">
        <v>0.07407407407407407</v>
      </c>
      <c r="N11" s="7" t="n">
        <v>72697.03703703704</v>
      </c>
      <c r="O11" s="7" t="n">
        <v>1696.5</v>
      </c>
      <c r="P11" s="7" t="n">
        <v>-1182</v>
      </c>
      <c r="Q11" s="9" t="n">
        <v>-0.005985901227565531</v>
      </c>
      <c r="R11" s="8" t="n">
        <v>-437.7777777777778</v>
      </c>
      <c r="S11" s="8" t="n">
        <v>0.02333657696579411</v>
      </c>
      <c r="T11" s="8" t="n">
        <v>-3.875253807106599</v>
      </c>
      <c r="U11" s="9" t="n">
        <v>-487.5253807106599</v>
      </c>
      <c r="V11" s="7" t="n"/>
      <c r="W11" s="7" t="n"/>
      <c r="X11" s="6" t="n"/>
    </row>
    <row r="12">
      <c r="A12" s="2" t="inlineStr">
        <is>
          <t>רמת גן</t>
        </is>
      </c>
      <c r="B12" s="3" t="n">
        <v>169706</v>
      </c>
      <c r="C12" s="3" t="n">
        <v>165155</v>
      </c>
      <c r="D12" s="3" t="n">
        <v>172242</v>
      </c>
      <c r="E12" s="3" t="n">
        <v>177651</v>
      </c>
      <c r="F12" s="3" t="n">
        <v>69252</v>
      </c>
      <c r="G12" s="4" t="n">
        <v>2.3</v>
      </c>
      <c r="H12" s="4" t="n">
        <v>2.3</v>
      </c>
      <c r="I12" s="3" t="n">
        <v>7613</v>
      </c>
      <c r="J12" s="4" t="n">
        <v>0.75</v>
      </c>
      <c r="K12" s="3" t="n">
        <v>35500</v>
      </c>
      <c r="L12" s="3" t="n">
        <v>40000</v>
      </c>
      <c r="M12" s="5" t="n">
        <v>0.1267605633802817</v>
      </c>
      <c r="N12" s="3" t="n">
        <v>77239.56521739131</v>
      </c>
      <c r="O12" s="3" t="n">
        <v>5709.75</v>
      </c>
      <c r="P12" s="3" t="n">
        <v>7945</v>
      </c>
      <c r="Q12" s="5" t="n">
        <v>0.04681625870623313</v>
      </c>
      <c r="R12" s="4" t="n">
        <v>3454.347826086957</v>
      </c>
      <c r="S12" s="4" t="n">
        <v>0.07392260668389145</v>
      </c>
      <c r="T12" s="4" t="n">
        <v>1.652916928886092</v>
      </c>
      <c r="U12" s="5" t="n">
        <v>65.29169288860916</v>
      </c>
      <c r="V12" s="3" t="n">
        <v>53000</v>
      </c>
      <c r="W12" s="3" t="n">
        <v>130000</v>
      </c>
      <c r="X12" s="2" t="inlineStr">
        <is>
          <t>הכנת מסמכי תכנית</t>
        </is>
      </c>
    </row>
    <row r="13">
      <c r="A13" s="6" t="inlineStr">
        <is>
          <t>בית שמש</t>
        </is>
      </c>
      <c r="B13" s="7" t="n">
        <v>141764</v>
      </c>
      <c r="C13" s="7" t="n">
        <v>145554</v>
      </c>
      <c r="D13" s="7" t="n">
        <v>176786</v>
      </c>
      <c r="E13" s="7" t="n">
        <v>176380</v>
      </c>
      <c r="F13" s="7" t="n">
        <v>32650</v>
      </c>
      <c r="G13" s="8" t="n">
        <v>4.5</v>
      </c>
      <c r="H13" s="8" t="n">
        <v>5.3</v>
      </c>
      <c r="I13" s="7" t="n">
        <v>7424</v>
      </c>
      <c r="J13" s="8" t="n">
        <v>0.97</v>
      </c>
      <c r="K13" s="7" t="n">
        <v>20500</v>
      </c>
      <c r="L13" s="7" t="n">
        <v>22000</v>
      </c>
      <c r="M13" s="9" t="n">
        <v>0.07317073170731707</v>
      </c>
      <c r="N13" s="7" t="n">
        <v>33279.24528301887</v>
      </c>
      <c r="O13" s="7" t="n">
        <v>7201.28</v>
      </c>
      <c r="P13" s="7" t="n">
        <v>34616</v>
      </c>
      <c r="Q13" s="9" t="n">
        <v>0.2441804689483931</v>
      </c>
      <c r="R13" s="8" t="n">
        <v>6531.320754716981</v>
      </c>
      <c r="S13" s="8" t="n">
        <v>0.2163895226216124</v>
      </c>
      <c r="T13" s="8" t="n">
        <v>1.10257638086434</v>
      </c>
      <c r="U13" s="9" t="n">
        <v>10.25763808643401</v>
      </c>
      <c r="V13" s="7" t="n"/>
      <c r="W13" s="7" t="n"/>
      <c r="X13" s="6" t="inlineStr">
        <is>
          <t>בדיקה תכנונית מוקדמת</t>
        </is>
      </c>
    </row>
    <row r="14">
      <c r="A14" s="2" t="inlineStr">
        <is>
          <t>אשקלון</t>
        </is>
      </c>
      <c r="B14" s="3" t="n">
        <v>149160</v>
      </c>
      <c r="C14" s="3" t="n">
        <v>152370</v>
      </c>
      <c r="D14" s="3" t="n">
        <v>166865</v>
      </c>
      <c r="E14" s="3" t="n">
        <v>167348</v>
      </c>
      <c r="F14" s="3" t="n">
        <v>52378</v>
      </c>
      <c r="G14" s="4" t="n">
        <v>2.8</v>
      </c>
      <c r="H14" s="4" t="n">
        <v>2.6</v>
      </c>
      <c r="I14" s="3" t="n">
        <v>7126</v>
      </c>
      <c r="J14" s="4" t="n">
        <v>0.97</v>
      </c>
      <c r="K14" s="3" t="n">
        <v>15500</v>
      </c>
      <c r="L14" s="3" t="n">
        <v>17500</v>
      </c>
      <c r="M14" s="5" t="n">
        <v>0.1290322580645161</v>
      </c>
      <c r="N14" s="3" t="n">
        <v>64364.61538461538</v>
      </c>
      <c r="O14" s="3" t="n">
        <v>6912.22</v>
      </c>
      <c r="P14" s="3" t="n">
        <v>18188</v>
      </c>
      <c r="Q14" s="5" t="n">
        <v>0.1219361759184768</v>
      </c>
      <c r="R14" s="4" t="n">
        <v>6995.384615384615</v>
      </c>
      <c r="S14" s="4" t="n">
        <v>0.1073916150775629</v>
      </c>
      <c r="T14" s="4" t="n">
        <v>0.9881115020892897</v>
      </c>
      <c r="U14" s="5" t="n">
        <v>-1.188849791071034</v>
      </c>
      <c r="V14" s="3" t="n">
        <v>6700</v>
      </c>
      <c r="W14" s="3" t="n">
        <v>24865</v>
      </c>
      <c r="X14" s="2" t="inlineStr">
        <is>
          <t>בדיקה תכנונית מוקדמת</t>
        </is>
      </c>
    </row>
    <row r="15">
      <c r="A15" s="6" t="inlineStr">
        <is>
          <t>רחובות</t>
        </is>
      </c>
      <c r="B15" s="7" t="n"/>
      <c r="C15" s="7" t="n">
        <v>150471</v>
      </c>
      <c r="D15" s="7" t="n">
        <v>155050</v>
      </c>
      <c r="E15" s="7" t="n">
        <v>155050</v>
      </c>
      <c r="F15" s="7" t="n">
        <v>51016</v>
      </c>
      <c r="G15" s="8" t="n">
        <v>2.9</v>
      </c>
      <c r="H15" s="8" t="n"/>
      <c r="I15" s="7" t="n"/>
      <c r="J15" s="8" t="n"/>
      <c r="K15" s="7" t="n"/>
      <c r="L15" s="7" t="n"/>
      <c r="M15" s="9" t="n"/>
      <c r="N15" s="7" t="n"/>
      <c r="O15" s="7" t="n"/>
      <c r="P15" s="7" t="n"/>
      <c r="Q15" s="9" t="n"/>
      <c r="R15" s="8" t="n"/>
      <c r="S15" s="8" t="n"/>
      <c r="T15" s="8" t="n"/>
      <c r="U15" s="9" t="n"/>
      <c r="V15" s="7" t="n"/>
      <c r="W15" s="7" t="n"/>
      <c r="X15" s="6" t="n"/>
    </row>
    <row r="16">
      <c r="A16" s="2" t="inlineStr">
        <is>
          <t>בת ים</t>
        </is>
      </c>
      <c r="B16" s="3" t="n">
        <v>124400</v>
      </c>
      <c r="C16" s="3" t="n">
        <v>128152</v>
      </c>
      <c r="D16" s="3" t="n">
        <v>129495</v>
      </c>
      <c r="E16" s="3" t="n">
        <v>129785</v>
      </c>
      <c r="F16" s="3" t="n">
        <v>53224</v>
      </c>
      <c r="G16" s="4" t="n">
        <v>2.4</v>
      </c>
      <c r="H16" s="4" t="n">
        <v>2.3</v>
      </c>
      <c r="I16" s="3" t="n">
        <v>8846</v>
      </c>
      <c r="J16" s="4" t="n">
        <v>0.7</v>
      </c>
      <c r="K16" s="3" t="n">
        <v>30400</v>
      </c>
      <c r="L16" s="3" t="n">
        <v>30600</v>
      </c>
      <c r="M16" s="5" t="n">
        <v>0.006578947368421052</v>
      </c>
      <c r="N16" s="3" t="n">
        <v>56428.26086956522</v>
      </c>
      <c r="O16" s="3" t="n">
        <v>6192.2</v>
      </c>
      <c r="P16" s="3" t="n">
        <v>5385</v>
      </c>
      <c r="Q16" s="5" t="n">
        <v>0.04328778135048231</v>
      </c>
      <c r="R16" s="4" t="n">
        <v>2341.304347826087</v>
      </c>
      <c r="S16" s="4" t="n">
        <v>0.1097357938128443</v>
      </c>
      <c r="T16" s="4" t="n">
        <v>2.644765088207985</v>
      </c>
      <c r="U16" s="5" t="n">
        <v>164.4765088207985</v>
      </c>
      <c r="V16" s="3" t="n">
        <v>24803</v>
      </c>
      <c r="W16" s="3" t="n">
        <v>35943</v>
      </c>
      <c r="X16" s="2" t="inlineStr">
        <is>
          <t>הכנת מסמכי תכנית</t>
        </is>
      </c>
    </row>
    <row r="17">
      <c r="A17" s="6" t="inlineStr">
        <is>
          <t>הרצליה</t>
        </is>
      </c>
      <c r="B17" s="7" t="n">
        <v>103318</v>
      </c>
      <c r="C17" s="7" t="n">
        <v>105273</v>
      </c>
      <c r="D17" s="7" t="n">
        <v>110885</v>
      </c>
      <c r="E17" s="7" t="n">
        <v>111854</v>
      </c>
      <c r="F17" s="7" t="n">
        <v>40620</v>
      </c>
      <c r="G17" s="8" t="n">
        <v>2.5</v>
      </c>
      <c r="H17" s="8" t="n">
        <v>2.5</v>
      </c>
      <c r="I17" s="7" t="n">
        <v>2355</v>
      </c>
      <c r="J17" s="8" t="n">
        <v>0.8</v>
      </c>
      <c r="K17" s="7" t="n">
        <v>26800</v>
      </c>
      <c r="L17" s="7" t="n">
        <v>41600</v>
      </c>
      <c r="M17" s="9" t="n">
        <v>0.5522388059701493</v>
      </c>
      <c r="N17" s="7" t="n">
        <v>44741.6</v>
      </c>
      <c r="O17" s="7" t="n">
        <v>1884</v>
      </c>
      <c r="P17" s="7" t="n">
        <v>8536</v>
      </c>
      <c r="Q17" s="9" t="n">
        <v>0.08261871116359201</v>
      </c>
      <c r="R17" s="8" t="n">
        <v>3414.4</v>
      </c>
      <c r="S17" s="8" t="n">
        <v>0.04210846281760152</v>
      </c>
      <c r="T17" s="8" t="n">
        <v>0.5517806935332709</v>
      </c>
      <c r="U17" s="9" t="n">
        <v>-44.82193064667291</v>
      </c>
      <c r="V17" s="7" t="n"/>
      <c r="W17" s="7" t="n"/>
      <c r="X17" s="6" t="n"/>
    </row>
    <row r="18">
      <c r="A18" s="2" t="inlineStr">
        <is>
          <t>חדרה</t>
        </is>
      </c>
      <c r="B18" s="3" t="n">
        <v>100631</v>
      </c>
      <c r="C18" s="3" t="n">
        <v>103847</v>
      </c>
      <c r="D18" s="3" t="n">
        <v>107974</v>
      </c>
      <c r="E18" s="3" t="n">
        <v>108146</v>
      </c>
      <c r="F18" s="3" t="n">
        <v>37519</v>
      </c>
      <c r="G18" s="4" t="n">
        <v>2.7</v>
      </c>
      <c r="H18" s="4" t="n">
        <v>2.8</v>
      </c>
      <c r="I18" s="3" t="n">
        <v>1750</v>
      </c>
      <c r="J18" s="4" t="n">
        <v>0.8</v>
      </c>
      <c r="K18" s="3" t="n">
        <v>19800</v>
      </c>
      <c r="L18" s="3" t="n">
        <v>23250</v>
      </c>
      <c r="M18" s="5" t="n">
        <v>0.1742424242424243</v>
      </c>
      <c r="N18" s="3" t="n">
        <v>38623.57142857143</v>
      </c>
      <c r="O18" s="3" t="n">
        <v>1400</v>
      </c>
      <c r="P18" s="3" t="n">
        <v>7515</v>
      </c>
      <c r="Q18" s="5" t="n">
        <v>0.07467877691764963</v>
      </c>
      <c r="R18" s="4" t="n">
        <v>2683.928571428572</v>
      </c>
      <c r="S18" s="4" t="n">
        <v>0.03624729532298929</v>
      </c>
      <c r="T18" s="4" t="n">
        <v>0.5216234198270127</v>
      </c>
      <c r="U18" s="5" t="n">
        <v>-47.83765801729874</v>
      </c>
      <c r="V18" s="3" t="n"/>
      <c r="W18" s="3" t="n"/>
      <c r="X18" s="2" t="inlineStr">
        <is>
          <t>פרסום הפקדה</t>
        </is>
      </c>
    </row>
    <row r="19">
      <c r="A19" s="6" t="inlineStr">
        <is>
          <t>מודיעין-מכבים-רעות</t>
        </is>
      </c>
      <c r="B19" s="7" t="n"/>
      <c r="C19" s="7" t="n">
        <v>92307</v>
      </c>
      <c r="D19" s="7" t="n">
        <v>100052</v>
      </c>
      <c r="E19" s="7" t="n">
        <v>100052</v>
      </c>
      <c r="F19" s="7" t="n">
        <v>27869</v>
      </c>
      <c r="G19" s="8" t="n">
        <v>3.3</v>
      </c>
      <c r="H19" s="8" t="n"/>
      <c r="I19" s="7" t="n"/>
      <c r="J19" s="8" t="n"/>
      <c r="K19" s="7" t="n"/>
      <c r="L19" s="7" t="n"/>
      <c r="M19" s="9" t="n"/>
      <c r="N19" s="7" t="n"/>
      <c r="O19" s="7" t="n"/>
      <c r="P19" s="7" t="n"/>
      <c r="Q19" s="9" t="n"/>
      <c r="R19" s="8" t="n"/>
      <c r="S19" s="8" t="n"/>
      <c r="T19" s="8" t="n"/>
      <c r="U19" s="9" t="n"/>
      <c r="V19" s="7" t="n"/>
      <c r="W19" s="7" t="n"/>
      <c r="X19" s="6" t="n"/>
    </row>
    <row r="20">
      <c r="A20" s="2" t="inlineStr">
        <is>
          <t>כפר סבא</t>
        </is>
      </c>
      <c r="B20" s="3" t="n"/>
      <c r="C20" s="3" t="n">
        <v>100262</v>
      </c>
      <c r="D20" s="3" t="n">
        <v>99410</v>
      </c>
      <c r="E20" s="3" t="n">
        <v>99410</v>
      </c>
      <c r="F20" s="3" t="n">
        <v>35655</v>
      </c>
      <c r="G20" s="4" t="n">
        <v>2.7</v>
      </c>
      <c r="H20" s="4" t="n"/>
      <c r="I20" s="3" t="n"/>
      <c r="J20" s="4" t="n"/>
      <c r="K20" s="3" t="n"/>
      <c r="L20" s="3" t="n"/>
      <c r="M20" s="5" t="n"/>
      <c r="N20" s="3" t="n"/>
      <c r="O20" s="3" t="n"/>
      <c r="P20" s="3" t="n"/>
      <c r="Q20" s="5" t="n"/>
      <c r="R20" s="4" t="n"/>
      <c r="S20" s="4" t="n"/>
      <c r="T20" s="4" t="n"/>
      <c r="U20" s="5" t="n"/>
      <c r="V20" s="3" t="n"/>
      <c r="W20" s="3" t="n"/>
      <c r="X20" s="2" t="n"/>
    </row>
    <row r="21">
      <c r="A21" s="6" t="inlineStr">
        <is>
          <t>לוד</t>
        </is>
      </c>
      <c r="B21" s="7" t="n">
        <v>82629</v>
      </c>
      <c r="C21" s="7" t="n">
        <v>87430</v>
      </c>
      <c r="D21" s="7" t="n">
        <v>94189</v>
      </c>
      <c r="E21" s="7" t="n">
        <v>96888</v>
      </c>
      <c r="F21" s="7" t="n">
        <v>26708</v>
      </c>
      <c r="G21" s="8" t="n">
        <v>3.2</v>
      </c>
      <c r="H21" s="8" t="n">
        <v>3.4</v>
      </c>
      <c r="I21" s="7" t="n">
        <v>8656</v>
      </c>
      <c r="J21" s="8" t="n">
        <v>0.95</v>
      </c>
      <c r="K21" s="7" t="n">
        <v>17500</v>
      </c>
      <c r="L21" s="7" t="n">
        <v>18500</v>
      </c>
      <c r="M21" s="9" t="n">
        <v>0.05714285714285714</v>
      </c>
      <c r="N21" s="7" t="n">
        <v>28496.47058823529</v>
      </c>
      <c r="O21" s="7" t="n">
        <v>8223.199999999999</v>
      </c>
      <c r="P21" s="7" t="n">
        <v>14259</v>
      </c>
      <c r="Q21" s="9" t="n">
        <v>0.1725665323312638</v>
      </c>
      <c r="R21" s="8" t="n">
        <v>4193.823529411765</v>
      </c>
      <c r="S21" s="8" t="n">
        <v>0.288569069441004</v>
      </c>
      <c r="T21" s="8" t="n">
        <v>1.960788274072515</v>
      </c>
      <c r="U21" s="9" t="n">
        <v>96.07882740725154</v>
      </c>
      <c r="V21" s="7" t="n">
        <v>19939</v>
      </c>
      <c r="W21" s="7" t="n">
        <v>49439</v>
      </c>
      <c r="X21" s="6" t="inlineStr">
        <is>
          <t>מילוי תנאים להפקדה</t>
        </is>
      </c>
    </row>
    <row r="22">
      <c r="A22" s="2" t="inlineStr">
        <is>
          <t>רמלה</t>
        </is>
      </c>
      <c r="B22" s="3" t="n"/>
      <c r="C22" s="3" t="n">
        <v>81126</v>
      </c>
      <c r="D22" s="3" t="n">
        <v>86052</v>
      </c>
      <c r="E22" s="3" t="n">
        <v>86052</v>
      </c>
      <c r="F22" s="3" t="n">
        <v>24930</v>
      </c>
      <c r="G22" s="4" t="n">
        <v>3.1</v>
      </c>
      <c r="H22" s="4" t="n"/>
      <c r="I22" s="3" t="n"/>
      <c r="J22" s="4" t="n"/>
      <c r="K22" s="3" t="n"/>
      <c r="L22" s="3" t="n"/>
      <c r="M22" s="5" t="n"/>
      <c r="N22" s="3" t="n"/>
      <c r="O22" s="3" t="n"/>
      <c r="P22" s="3" t="n"/>
      <c r="Q22" s="5" t="n"/>
      <c r="R22" s="4" t="n"/>
      <c r="S22" s="4" t="n"/>
      <c r="T22" s="4" t="n"/>
      <c r="U22" s="5" t="n"/>
      <c r="V22" s="3" t="n"/>
      <c r="W22" s="3" t="n"/>
      <c r="X22" s="2" t="n"/>
    </row>
    <row r="23">
      <c r="A23" s="6" t="inlineStr">
        <is>
          <t>רעננה</t>
        </is>
      </c>
      <c r="B23" s="7" t="n">
        <v>78562</v>
      </c>
      <c r="C23" s="7" t="n">
        <v>80155</v>
      </c>
      <c r="D23" s="7" t="n">
        <v>82963</v>
      </c>
      <c r="E23" s="7" t="n">
        <v>83900</v>
      </c>
      <c r="F23" s="7" t="n">
        <v>27311</v>
      </c>
      <c r="G23" s="8" t="n">
        <v>2.8</v>
      </c>
      <c r="H23" s="8" t="n">
        <v>2.9</v>
      </c>
      <c r="I23" s="7" t="n">
        <v>3983</v>
      </c>
      <c r="J23" s="8" t="n">
        <v>0.95</v>
      </c>
      <c r="K23" s="7" t="n">
        <v>34500</v>
      </c>
      <c r="L23" s="7" t="n">
        <v>36500</v>
      </c>
      <c r="M23" s="9" t="n">
        <v>0.05797101449275362</v>
      </c>
      <c r="N23" s="7" t="n">
        <v>28931.03448275862</v>
      </c>
      <c r="O23" s="7" t="n">
        <v>3783.85</v>
      </c>
      <c r="P23" s="7" t="n">
        <v>5338</v>
      </c>
      <c r="Q23" s="9" t="n">
        <v>0.06794633537842723</v>
      </c>
      <c r="R23" s="8" t="n">
        <v>1840.689655172414</v>
      </c>
      <c r="S23" s="8" t="n">
        <v>0.1307886174016686</v>
      </c>
      <c r="T23" s="8" t="n">
        <v>2.055669726489322</v>
      </c>
      <c r="U23" s="9" t="n">
        <v>105.5669726489322</v>
      </c>
      <c r="V23" s="7" t="n"/>
      <c r="W23" s="7" t="n"/>
      <c r="X23" s="6" t="inlineStr">
        <is>
          <t>אושרה לתוקף</t>
        </is>
      </c>
    </row>
    <row r="24">
      <c r="A24" s="2" t="inlineStr">
        <is>
          <t>מודיעין עילית</t>
        </is>
      </c>
      <c r="B24" s="3" t="n"/>
      <c r="C24" s="3" t="n">
        <v>83133</v>
      </c>
      <c r="D24" s="3" t="n"/>
      <c r="E24" s="3" t="n"/>
      <c r="F24" s="3" t="n">
        <v>14056</v>
      </c>
      <c r="G24" s="4" t="n">
        <v>5.9</v>
      </c>
      <c r="H24" s="4" t="n"/>
      <c r="I24" s="3" t="n"/>
      <c r="J24" s="4" t="n"/>
      <c r="K24" s="3" t="n"/>
      <c r="L24" s="3" t="n"/>
      <c r="M24" s="5" t="n"/>
      <c r="N24" s="3" t="n"/>
      <c r="O24" s="3" t="n"/>
      <c r="P24" s="3" t="n"/>
      <c r="Q24" s="5" t="n"/>
      <c r="R24" s="4" t="n"/>
      <c r="S24" s="4" t="n"/>
      <c r="T24" s="4" t="n"/>
      <c r="U24" s="5" t="n"/>
      <c r="V24" s="3" t="n"/>
      <c r="W24" s="3" t="n"/>
      <c r="X24" s="2" t="n"/>
    </row>
    <row r="25">
      <c r="A25" s="6" t="inlineStr">
        <is>
          <t>ראש העין</t>
        </is>
      </c>
      <c r="B25" s="7" t="n"/>
      <c r="C25" s="7" t="n">
        <v>74572</v>
      </c>
      <c r="D25" s="7" t="n">
        <v>79023</v>
      </c>
      <c r="E25" s="7" t="n">
        <v>79023</v>
      </c>
      <c r="F25" s="7" t="n">
        <v>23711</v>
      </c>
      <c r="G25" s="8" t="n">
        <v>3.1</v>
      </c>
      <c r="H25" s="8" t="n"/>
      <c r="I25" s="7" t="n"/>
      <c r="J25" s="8" t="n"/>
      <c r="K25" s="7" t="n"/>
      <c r="L25" s="7" t="n"/>
      <c r="M25" s="9" t="n"/>
      <c r="N25" s="7" t="n"/>
      <c r="O25" s="7" t="n"/>
      <c r="P25" s="7" t="n"/>
      <c r="Q25" s="9" t="n"/>
      <c r="R25" s="8" t="n"/>
      <c r="S25" s="8" t="n"/>
      <c r="T25" s="8" t="n"/>
      <c r="U25" s="9" t="n"/>
      <c r="V25" s="7" t="n"/>
      <c r="W25" s="7" t="n"/>
      <c r="X25" s="6" t="n"/>
    </row>
    <row r="26">
      <c r="A26" s="2" t="inlineStr">
        <is>
          <t>רהט</t>
        </is>
      </c>
      <c r="B26" s="3" t="n"/>
      <c r="C26" s="3" t="n">
        <v>71355</v>
      </c>
      <c r="D26" s="3" t="n">
        <v>77996</v>
      </c>
      <c r="E26" s="3" t="n">
        <v>77996</v>
      </c>
      <c r="F26" s="3" t="n">
        <v>15801</v>
      </c>
      <c r="G26" s="4" t="n">
        <v>4.5</v>
      </c>
      <c r="H26" s="4" t="n"/>
      <c r="I26" s="3" t="n"/>
      <c r="J26" s="4" t="n"/>
      <c r="K26" s="3" t="n"/>
      <c r="L26" s="3" t="n"/>
      <c r="M26" s="5" t="n"/>
      <c r="N26" s="3" t="n"/>
      <c r="O26" s="3" t="n"/>
      <c r="P26" s="3" t="n"/>
      <c r="Q26" s="5" t="n"/>
      <c r="R26" s="4" t="n"/>
      <c r="S26" s="4" t="n"/>
      <c r="T26" s="4" t="n"/>
      <c r="U26" s="5" t="n"/>
      <c r="V26" s="3" t="n"/>
      <c r="W26" s="3" t="n"/>
      <c r="X26" s="2" t="n"/>
    </row>
    <row r="27">
      <c r="A27" s="6" t="inlineStr">
        <is>
          <t>נצרת</t>
        </is>
      </c>
      <c r="B27" s="7" t="n"/>
      <c r="C27" s="7" t="n">
        <v>77295</v>
      </c>
      <c r="D27" s="7" t="n">
        <v>75704</v>
      </c>
      <c r="E27" s="7" t="n">
        <v>75704</v>
      </c>
      <c r="F27" s="7" t="n">
        <v>23131</v>
      </c>
      <c r="G27" s="8" t="n">
        <v>3.3</v>
      </c>
      <c r="H27" s="8" t="n"/>
      <c r="I27" s="7" t="n"/>
      <c r="J27" s="8" t="n"/>
      <c r="K27" s="7" t="n"/>
      <c r="L27" s="7" t="n"/>
      <c r="M27" s="9" t="n"/>
      <c r="N27" s="7" t="n"/>
      <c r="O27" s="7" t="n"/>
      <c r="P27" s="7" t="n"/>
      <c r="Q27" s="9" t="n"/>
      <c r="R27" s="8" t="n"/>
      <c r="S27" s="8" t="n"/>
      <c r="T27" s="8" t="n"/>
      <c r="U27" s="9" t="n"/>
      <c r="V27" s="7" t="n"/>
      <c r="W27" s="7" t="n"/>
      <c r="X27" s="6" t="n"/>
    </row>
    <row r="28">
      <c r="A28" s="2" t="inlineStr">
        <is>
          <t>קריית גת</t>
        </is>
      </c>
      <c r="B28" s="3" t="n">
        <v>60582</v>
      </c>
      <c r="C28" s="3" t="n">
        <v>63386</v>
      </c>
      <c r="D28" s="3" t="n">
        <v>72139</v>
      </c>
      <c r="E28" s="3" t="n">
        <v>74400</v>
      </c>
      <c r="F28" s="3" t="n">
        <v>20247</v>
      </c>
      <c r="G28" s="4" t="n">
        <v>3</v>
      </c>
      <c r="H28" s="4" t="n">
        <v>3.1</v>
      </c>
      <c r="I28" s="3" t="n">
        <v>3610</v>
      </c>
      <c r="J28" s="4" t="n">
        <v>1</v>
      </c>
      <c r="K28" s="3" t="n">
        <v>14500</v>
      </c>
      <c r="L28" s="3" t="n">
        <v>17500</v>
      </c>
      <c r="M28" s="5" t="n">
        <v>0.2068965517241379</v>
      </c>
      <c r="N28" s="3" t="n">
        <v>24000</v>
      </c>
      <c r="O28" s="3" t="n">
        <v>3610</v>
      </c>
      <c r="P28" s="3" t="n">
        <v>13818</v>
      </c>
      <c r="Q28" s="5" t="n">
        <v>0.2280875507576508</v>
      </c>
      <c r="R28" s="4" t="n">
        <v>4457.419354838709</v>
      </c>
      <c r="S28" s="4" t="n">
        <v>0.1504166666666667</v>
      </c>
      <c r="T28" s="4" t="n">
        <v>0.8098856563902157</v>
      </c>
      <c r="U28" s="5" t="n">
        <v>-19.01143436097843</v>
      </c>
      <c r="V28" s="3" t="n"/>
      <c r="W28" s="3" t="n"/>
      <c r="X28" s="2" t="n"/>
    </row>
    <row r="29">
      <c r="A29" s="6" t="inlineStr">
        <is>
          <t>עפולה</t>
        </is>
      </c>
      <c r="B29" s="7" t="n">
        <v>59075</v>
      </c>
      <c r="C29" s="7" t="n">
        <v>60828</v>
      </c>
      <c r="D29" s="7" t="n">
        <v>66362</v>
      </c>
      <c r="E29" s="7" t="n">
        <v>68000</v>
      </c>
      <c r="F29" s="7" t="n">
        <v>21412</v>
      </c>
      <c r="G29" s="8" t="n">
        <v>2.8</v>
      </c>
      <c r="H29" s="8" t="n">
        <v>2.8</v>
      </c>
      <c r="I29" s="7" t="n">
        <v>1650</v>
      </c>
      <c r="J29" s="8" t="n">
        <v>1</v>
      </c>
      <c r="K29" s="7" t="n">
        <v>9250</v>
      </c>
      <c r="L29" s="7" t="n">
        <v>12900</v>
      </c>
      <c r="M29" s="9" t="n">
        <v>0.3945945945945946</v>
      </c>
      <c r="N29" s="7" t="n">
        <v>24285.71428571429</v>
      </c>
      <c r="O29" s="7" t="n">
        <v>1650</v>
      </c>
      <c r="P29" s="7" t="n">
        <v>8925</v>
      </c>
      <c r="Q29" s="9" t="n">
        <v>0.1510791366906475</v>
      </c>
      <c r="R29" s="8" t="n">
        <v>3187.5</v>
      </c>
      <c r="S29" s="8" t="n">
        <v>0.06794117647058823</v>
      </c>
      <c r="T29" s="8" t="n">
        <v>0.5176470588235295</v>
      </c>
      <c r="U29" s="9" t="n">
        <v>-48.23529411764705</v>
      </c>
      <c r="V29" s="7" t="n"/>
      <c r="W29" s="7" t="n"/>
      <c r="X29" s="6" t="n"/>
    </row>
    <row r="30">
      <c r="A30" s="2" t="inlineStr">
        <is>
          <t>נהרייה</t>
        </is>
      </c>
      <c r="B30" s="3" t="n"/>
      <c r="C30" s="3" t="n">
        <v>63318</v>
      </c>
      <c r="D30" s="3" t="n">
        <v>67877</v>
      </c>
      <c r="E30" s="3" t="n">
        <v>67877</v>
      </c>
      <c r="F30" s="3" t="n">
        <v>23801</v>
      </c>
      <c r="G30" s="4" t="n">
        <v>2.6</v>
      </c>
      <c r="H30" s="4" t="n"/>
      <c r="I30" s="3" t="n"/>
      <c r="J30" s="4" t="n"/>
      <c r="K30" s="3" t="n"/>
      <c r="L30" s="3" t="n"/>
      <c r="M30" s="5" t="n"/>
      <c r="N30" s="3" t="n"/>
      <c r="O30" s="3" t="n"/>
      <c r="P30" s="3" t="n"/>
      <c r="Q30" s="5" t="n"/>
      <c r="R30" s="4" t="n"/>
      <c r="S30" s="4" t="n"/>
      <c r="T30" s="4" t="n"/>
      <c r="U30" s="5" t="n"/>
      <c r="V30" s="3" t="n"/>
      <c r="W30" s="3" t="n"/>
      <c r="X30" s="2" t="n"/>
    </row>
    <row r="31">
      <c r="A31" s="6" t="inlineStr">
        <is>
          <t>הוד השרון</t>
        </is>
      </c>
      <c r="B31" s="7" t="n">
        <v>63000</v>
      </c>
      <c r="C31" s="7" t="n">
        <v>65020</v>
      </c>
      <c r="D31" s="7" t="n">
        <v>66398</v>
      </c>
      <c r="E31" s="7" t="n">
        <v>66641</v>
      </c>
      <c r="F31" s="7" t="n">
        <v>22174</v>
      </c>
      <c r="G31" s="8" t="n">
        <v>2.9</v>
      </c>
      <c r="H31" s="8" t="n">
        <v>3</v>
      </c>
      <c r="I31" s="7" t="n">
        <v>1822</v>
      </c>
      <c r="J31" s="8" t="n">
        <v>0.9</v>
      </c>
      <c r="K31" s="7" t="n">
        <v>32500</v>
      </c>
      <c r="L31" s="7" t="n">
        <v>34000</v>
      </c>
      <c r="M31" s="9" t="n">
        <v>0.04615384615384616</v>
      </c>
      <c r="N31" s="7" t="n">
        <v>22213.66666666667</v>
      </c>
      <c r="O31" s="7" t="n">
        <v>1639.8</v>
      </c>
      <c r="P31" s="7" t="n">
        <v>3641</v>
      </c>
      <c r="Q31" s="9" t="n">
        <v>0.05779365079365079</v>
      </c>
      <c r="R31" s="8" t="n">
        <v>1213.666666666667</v>
      </c>
      <c r="S31" s="8" t="n">
        <v>0.0738194204768836</v>
      </c>
      <c r="T31" s="8" t="n">
        <v>1.351112331776984</v>
      </c>
      <c r="U31" s="9" t="n">
        <v>35.11123317769842</v>
      </c>
      <c r="V31" s="7" t="n"/>
      <c r="W31" s="7" t="n"/>
      <c r="X31" s="6" t="n"/>
    </row>
    <row r="32">
      <c r="A32" s="2" t="inlineStr">
        <is>
          <t>ביתר עילית</t>
        </is>
      </c>
      <c r="B32" s="3" t="n"/>
      <c r="C32" s="3" t="n">
        <v>65660</v>
      </c>
      <c r="D32" s="3" t="n"/>
      <c r="E32" s="3" t="n"/>
      <c r="F32" s="3" t="n">
        <v>12664</v>
      </c>
      <c r="G32" s="4" t="n">
        <v>5.2</v>
      </c>
      <c r="H32" s="4" t="n"/>
      <c r="I32" s="3" t="n"/>
      <c r="J32" s="4" t="n"/>
      <c r="K32" s="3" t="n"/>
      <c r="L32" s="3" t="n"/>
      <c r="M32" s="5" t="n"/>
      <c r="N32" s="3" t="n"/>
      <c r="O32" s="3" t="n"/>
      <c r="P32" s="3" t="n"/>
      <c r="Q32" s="5" t="n"/>
      <c r="R32" s="4" t="n"/>
      <c r="S32" s="4" t="n"/>
      <c r="T32" s="4" t="n"/>
      <c r="U32" s="5" t="n"/>
      <c r="V32" s="3" t="n"/>
      <c r="W32" s="3" t="n"/>
      <c r="X32" s="2" t="n"/>
    </row>
    <row r="33">
      <c r="A33" s="6" t="inlineStr">
        <is>
          <t>קריית אתא</t>
        </is>
      </c>
      <c r="B33" s="7" t="n">
        <v>60102</v>
      </c>
      <c r="C33" s="7" t="n">
        <v>60465</v>
      </c>
      <c r="D33" s="7" t="n">
        <v>62584</v>
      </c>
      <c r="E33" s="7" t="n">
        <v>62000</v>
      </c>
      <c r="F33" s="7" t="n">
        <v>22146</v>
      </c>
      <c r="G33" s="8" t="n">
        <v>2.7</v>
      </c>
      <c r="H33" s="8" t="n">
        <v>2.7</v>
      </c>
      <c r="I33" s="7" t="n">
        <v>2450</v>
      </c>
      <c r="J33" s="8" t="n">
        <v>0.9</v>
      </c>
      <c r="K33" s="7" t="n">
        <v>13500</v>
      </c>
      <c r="L33" s="7" t="n">
        <v>15700</v>
      </c>
      <c r="M33" s="9" t="n">
        <v>0.162962962962963</v>
      </c>
      <c r="N33" s="7" t="n">
        <v>22962.96296296296</v>
      </c>
      <c r="O33" s="7" t="n">
        <v>2205</v>
      </c>
      <c r="P33" s="7" t="n">
        <v>1898</v>
      </c>
      <c r="Q33" s="9" t="n">
        <v>0.03157964793184919</v>
      </c>
      <c r="R33" s="8" t="n">
        <v>702.9629629629629</v>
      </c>
      <c r="S33" s="8" t="n">
        <v>0.09602419354838711</v>
      </c>
      <c r="T33" s="8" t="n">
        <v>3.136722866174921</v>
      </c>
      <c r="U33" s="9" t="n">
        <v>213.6722866174921</v>
      </c>
      <c r="V33" s="7" t="n"/>
      <c r="W33" s="7" t="n"/>
      <c r="X33" s="6" t="n"/>
    </row>
    <row r="34">
      <c r="A34" s="2" t="inlineStr">
        <is>
          <t>אום אל-פחם</t>
        </is>
      </c>
      <c r="B34" s="3" t="n"/>
      <c r="C34" s="3" t="n">
        <v>57560</v>
      </c>
      <c r="D34" s="3" t="n">
        <v>60210</v>
      </c>
      <c r="E34" s="3" t="n">
        <v>60210</v>
      </c>
      <c r="F34" s="3" t="n">
        <v>15707</v>
      </c>
      <c r="G34" s="4" t="n">
        <v>3.7</v>
      </c>
      <c r="H34" s="4" t="n"/>
      <c r="I34" s="3" t="n"/>
      <c r="J34" s="4" t="n"/>
      <c r="K34" s="3" t="n"/>
      <c r="L34" s="3" t="n"/>
      <c r="M34" s="5" t="n"/>
      <c r="N34" s="3" t="n"/>
      <c r="O34" s="3" t="n"/>
      <c r="P34" s="3" t="n"/>
      <c r="Q34" s="5" t="n"/>
      <c r="R34" s="4" t="n"/>
      <c r="S34" s="4" t="n"/>
      <c r="T34" s="4" t="n"/>
      <c r="U34" s="5" t="n"/>
      <c r="V34" s="3" t="n"/>
      <c r="W34" s="3" t="n"/>
      <c r="X34" s="2" t="n"/>
    </row>
    <row r="35">
      <c r="A35" s="6" t="inlineStr">
        <is>
          <t>גבעתיים</t>
        </is>
      </c>
      <c r="B35" s="7" t="n"/>
      <c r="C35" s="7" t="n">
        <v>58052</v>
      </c>
      <c r="D35" s="7" t="n">
        <v>58600</v>
      </c>
      <c r="E35" s="7" t="n">
        <v>58600</v>
      </c>
      <c r="F35" s="7" t="n">
        <v>24117</v>
      </c>
      <c r="G35" s="8" t="n">
        <v>2.4</v>
      </c>
      <c r="H35" s="8" t="n"/>
      <c r="I35" s="7" t="n"/>
      <c r="J35" s="8" t="n"/>
      <c r="K35" s="7" t="n"/>
      <c r="L35" s="7" t="n"/>
      <c r="M35" s="9" t="n"/>
      <c r="N35" s="7" t="n"/>
      <c r="O35" s="7" t="n"/>
      <c r="P35" s="7" t="n"/>
      <c r="Q35" s="9" t="n"/>
      <c r="R35" s="8" t="n"/>
      <c r="S35" s="8" t="n"/>
      <c r="T35" s="8" t="n"/>
      <c r="U35" s="9" t="n"/>
      <c r="V35" s="7" t="n"/>
      <c r="W35" s="7" t="n"/>
      <c r="X35" s="6" t="n"/>
    </row>
    <row r="36">
      <c r="A36" s="2" t="inlineStr">
        <is>
          <t>יבנה</t>
        </is>
      </c>
      <c r="B36" s="3" t="n"/>
      <c r="C36" s="3" t="n">
        <v>54981</v>
      </c>
      <c r="D36" s="3" t="n">
        <v>58090</v>
      </c>
      <c r="E36" s="3" t="n">
        <v>58090</v>
      </c>
      <c r="F36" s="3" t="n">
        <v>17017</v>
      </c>
      <c r="G36" s="4" t="n">
        <v>3.2</v>
      </c>
      <c r="H36" s="4" t="n"/>
      <c r="I36" s="3" t="n"/>
      <c r="J36" s="4" t="n"/>
      <c r="K36" s="3" t="n"/>
      <c r="L36" s="3" t="n"/>
      <c r="M36" s="5" t="n"/>
      <c r="N36" s="3" t="n"/>
      <c r="O36" s="3" t="n"/>
      <c r="P36" s="3" t="n"/>
      <c r="Q36" s="5" t="n"/>
      <c r="R36" s="4" t="n"/>
      <c r="S36" s="4" t="n"/>
      <c r="T36" s="4" t="n"/>
      <c r="U36" s="5" t="n"/>
      <c r="V36" s="3" t="n"/>
      <c r="W36" s="3" t="n"/>
      <c r="X36" s="2" t="n"/>
    </row>
    <row r="37">
      <c r="A37" s="6" t="inlineStr">
        <is>
          <t>נתיבות</t>
        </is>
      </c>
      <c r="B37" s="7" t="n">
        <v>42039</v>
      </c>
      <c r="C37" s="7" t="n">
        <v>45024</v>
      </c>
      <c r="D37" s="7" t="n">
        <v>56019</v>
      </c>
      <c r="E37" s="7" t="n">
        <v>57936</v>
      </c>
      <c r="F37" s="7" t="n">
        <v>11763</v>
      </c>
      <c r="G37" s="8" t="n">
        <v>3.7</v>
      </c>
      <c r="H37" s="8" t="n">
        <v>3.9</v>
      </c>
      <c r="I37" s="7" t="n">
        <v>4695</v>
      </c>
      <c r="J37" s="8" t="n">
        <v>1</v>
      </c>
      <c r="K37" s="7" t="n">
        <v>13500</v>
      </c>
      <c r="L37" s="7" t="n">
        <v>15000</v>
      </c>
      <c r="M37" s="9" t="n">
        <v>0.1111111111111111</v>
      </c>
      <c r="N37" s="7" t="n">
        <v>14855.38461538462</v>
      </c>
      <c r="O37" s="7" t="n">
        <v>4695</v>
      </c>
      <c r="P37" s="7" t="n">
        <v>15897</v>
      </c>
      <c r="Q37" s="9" t="n">
        <v>0.3781488617712124</v>
      </c>
      <c r="R37" s="8" t="n">
        <v>4076.153846153846</v>
      </c>
      <c r="S37" s="8" t="n">
        <v>0.3160470173985087</v>
      </c>
      <c r="T37" s="8" t="n">
        <v>1.151821098320438</v>
      </c>
      <c r="U37" s="9" t="n">
        <v>15.18210983204378</v>
      </c>
      <c r="V37" s="7" t="n"/>
      <c r="W37" s="7" t="n"/>
      <c r="X37" s="6" t="n"/>
    </row>
    <row r="38">
      <c r="A38" s="2" t="inlineStr">
        <is>
          <t>אילת</t>
        </is>
      </c>
      <c r="B38" s="3" t="n">
        <v>52753</v>
      </c>
      <c r="C38" s="3" t="n">
        <v>55213</v>
      </c>
      <c r="D38" s="3" t="n">
        <v>56004</v>
      </c>
      <c r="E38" s="3" t="n">
        <v>57805</v>
      </c>
      <c r="F38" s="3" t="n">
        <v>22269</v>
      </c>
      <c r="G38" s="4" t="n">
        <v>2.4</v>
      </c>
      <c r="H38" s="4" t="n">
        <v>2.6</v>
      </c>
      <c r="I38" s="3" t="n">
        <v>1800</v>
      </c>
      <c r="J38" s="4" t="n">
        <v>1</v>
      </c>
      <c r="K38" s="3" t="n">
        <v>19500</v>
      </c>
      <c r="L38" s="3" t="n">
        <v>21500</v>
      </c>
      <c r="M38" s="5" t="n">
        <v>0.1025641025641026</v>
      </c>
      <c r="N38" s="3" t="n">
        <v>22232.69230769231</v>
      </c>
      <c r="O38" s="3" t="n">
        <v>1800</v>
      </c>
      <c r="P38" s="3" t="n">
        <v>5052</v>
      </c>
      <c r="Q38" s="5" t="n">
        <v>0.09576706538016795</v>
      </c>
      <c r="R38" s="4" t="n">
        <v>1943.076923076923</v>
      </c>
      <c r="S38" s="4" t="n">
        <v>0.08096185451085545</v>
      </c>
      <c r="T38" s="4" t="n">
        <v>0.9263657957244655</v>
      </c>
      <c r="U38" s="5" t="n">
        <v>-7.363420427553447</v>
      </c>
      <c r="V38" s="3" t="n"/>
      <c r="W38" s="3" t="n"/>
      <c r="X38" s="2" t="n"/>
    </row>
    <row r="39">
      <c r="A39" s="6" t="inlineStr">
        <is>
          <t>טבריה</t>
        </is>
      </c>
      <c r="B39" s="7" t="n">
        <v>46698</v>
      </c>
      <c r="C39" s="7" t="n">
        <v>48509</v>
      </c>
      <c r="D39" s="7" t="n">
        <v>52122</v>
      </c>
      <c r="E39" s="7" t="n">
        <v>55000</v>
      </c>
      <c r="F39" s="7" t="n">
        <v>16971</v>
      </c>
      <c r="G39" s="8" t="n">
        <v>2.8</v>
      </c>
      <c r="H39" s="8" t="n">
        <v>2.9</v>
      </c>
      <c r="I39" s="7" t="n">
        <v>1900</v>
      </c>
      <c r="J39" s="8" t="n">
        <v>1</v>
      </c>
      <c r="K39" s="7" t="n">
        <v>11250</v>
      </c>
      <c r="L39" s="7" t="n">
        <v>13500</v>
      </c>
      <c r="M39" s="9" t="n">
        <v>0.2</v>
      </c>
      <c r="N39" s="7" t="n">
        <v>18965.51724137931</v>
      </c>
      <c r="O39" s="7" t="n">
        <v>1900</v>
      </c>
      <c r="P39" s="7" t="n">
        <v>8302</v>
      </c>
      <c r="Q39" s="9" t="n">
        <v>0.1777806330035548</v>
      </c>
      <c r="R39" s="8" t="n">
        <v>2862.758620689655</v>
      </c>
      <c r="S39" s="8" t="n">
        <v>0.1001818181818182</v>
      </c>
      <c r="T39" s="8" t="n">
        <v>0.663695495061431</v>
      </c>
      <c r="U39" s="9" t="n">
        <v>-33.6304504938569</v>
      </c>
      <c r="V39" s="7" t="n"/>
      <c r="W39" s="7" t="n"/>
      <c r="X39" s="6" t="n"/>
    </row>
    <row r="40">
      <c r="A40" s="2" t="inlineStr">
        <is>
          <t>עכו</t>
        </is>
      </c>
      <c r="B40" s="3" t="n">
        <v>49614</v>
      </c>
      <c r="C40" s="3" t="n">
        <v>50555</v>
      </c>
      <c r="D40" s="3" t="n">
        <v>52884</v>
      </c>
      <c r="E40" s="3" t="n">
        <v>53891</v>
      </c>
      <c r="F40" s="3" t="n">
        <v>17761</v>
      </c>
      <c r="G40" s="4" t="n">
        <v>2.8</v>
      </c>
      <c r="H40" s="4" t="n">
        <v>2.8</v>
      </c>
      <c r="I40" s="3" t="n">
        <v>2100</v>
      </c>
      <c r="J40" s="4" t="n">
        <v>0.9</v>
      </c>
      <c r="K40" s="3" t="n">
        <v>12500</v>
      </c>
      <c r="L40" s="3" t="n">
        <v>15500</v>
      </c>
      <c r="M40" s="5" t="n">
        <v>0.24</v>
      </c>
      <c r="N40" s="3" t="n">
        <v>19246.78571428571</v>
      </c>
      <c r="O40" s="3" t="n">
        <v>1890</v>
      </c>
      <c r="P40" s="3" t="n">
        <v>4277</v>
      </c>
      <c r="Q40" s="5" t="n">
        <v>0.0862055065102592</v>
      </c>
      <c r="R40" s="4" t="n">
        <v>1527.5</v>
      </c>
      <c r="S40" s="4" t="n">
        <v>0.09819821491529199</v>
      </c>
      <c r="T40" s="4" t="n">
        <v>1.237315875613748</v>
      </c>
      <c r="U40" s="5" t="n">
        <v>23.73158756137479</v>
      </c>
      <c r="V40" s="3" t="n"/>
      <c r="W40" s="3" t="n"/>
      <c r="X40" s="2" t="n"/>
    </row>
    <row r="41">
      <c r="A41" s="6" t="inlineStr">
        <is>
          <t>קריית מוצקין</t>
        </is>
      </c>
      <c r="B41" s="7" t="n"/>
      <c r="C41" s="7" t="n">
        <v>49057</v>
      </c>
      <c r="D41" s="7" t="n">
        <v>51488</v>
      </c>
      <c r="E41" s="7" t="n">
        <v>51488</v>
      </c>
      <c r="F41" s="7" t="n">
        <v>19489</v>
      </c>
      <c r="G41" s="8" t="n">
        <v>2.5</v>
      </c>
      <c r="H41" s="8" t="n"/>
      <c r="I41" s="7" t="n"/>
      <c r="J41" s="8" t="n"/>
      <c r="K41" s="7" t="n"/>
      <c r="L41" s="7" t="n"/>
      <c r="M41" s="9" t="n"/>
      <c r="N41" s="7" t="n"/>
      <c r="O41" s="7" t="n"/>
      <c r="P41" s="7" t="n"/>
      <c r="Q41" s="9" t="n"/>
      <c r="R41" s="8" t="n"/>
      <c r="S41" s="8" t="n"/>
      <c r="T41" s="8" t="n"/>
      <c r="U41" s="9" t="n"/>
      <c r="V41" s="7" t="n"/>
      <c r="W41" s="7" t="n"/>
      <c r="X41" s="6" t="n"/>
    </row>
    <row r="42">
      <c r="A42" s="2" t="inlineStr">
        <is>
          <t>אלעד</t>
        </is>
      </c>
      <c r="B42" s="3" t="n">
        <v>49593</v>
      </c>
      <c r="C42" s="3" t="n">
        <v>48825</v>
      </c>
      <c r="D42" s="3" t="n">
        <v>50845</v>
      </c>
      <c r="E42" s="3" t="n">
        <v>50711</v>
      </c>
      <c r="F42" s="3" t="n">
        <v>9601</v>
      </c>
      <c r="G42" s="4" t="n">
        <v>5</v>
      </c>
      <c r="H42" s="4" t="n">
        <v>6.8</v>
      </c>
      <c r="I42" s="3" t="n">
        <v>2150</v>
      </c>
      <c r="J42" s="4" t="n">
        <v>1</v>
      </c>
      <c r="K42" s="3" t="n">
        <v>22850</v>
      </c>
      <c r="L42" s="3" t="n">
        <v>25000</v>
      </c>
      <c r="M42" s="5" t="n">
        <v>0.09409190371991247</v>
      </c>
      <c r="N42" s="3" t="n">
        <v>7457.5</v>
      </c>
      <c r="O42" s="3" t="n">
        <v>2150</v>
      </c>
      <c r="P42" s="3" t="n">
        <v>1118</v>
      </c>
      <c r="Q42" s="5" t="n">
        <v>0.02254350412356583</v>
      </c>
      <c r="R42" s="4" t="n">
        <v>164.4117647058823</v>
      </c>
      <c r="S42" s="4" t="n">
        <v>0.2883003687562856</v>
      </c>
      <c r="T42" s="4" t="n">
        <v>13.07692307692308</v>
      </c>
      <c r="U42" s="5" t="n">
        <v>1207.692307692308</v>
      </c>
      <c r="V42" s="3" t="n"/>
      <c r="W42" s="3" t="n"/>
      <c r="X42" s="2" t="n"/>
    </row>
    <row r="43">
      <c r="A43" s="6" t="inlineStr">
        <is>
          <t>רמת השרון</t>
        </is>
      </c>
      <c r="B43" s="7" t="n">
        <v>47970</v>
      </c>
      <c r="C43" s="7" t="n">
        <v>48986</v>
      </c>
      <c r="D43" s="7" t="n">
        <v>48860</v>
      </c>
      <c r="E43" s="7" t="n">
        <v>49000</v>
      </c>
      <c r="F43" s="7" t="n">
        <v>17054</v>
      </c>
      <c r="G43" s="8" t="n">
        <v>2.8</v>
      </c>
      <c r="H43" s="8" t="n">
        <v>2.72</v>
      </c>
      <c r="I43" s="7" t="n">
        <v>2550</v>
      </c>
      <c r="J43" s="8" t="n">
        <v>0.9</v>
      </c>
      <c r="K43" s="7" t="n">
        <v>33250</v>
      </c>
      <c r="L43" s="7" t="n">
        <v>41500</v>
      </c>
      <c r="M43" s="9" t="n">
        <v>0.2481203007518797</v>
      </c>
      <c r="N43" s="7" t="n">
        <v>18014.70588235294</v>
      </c>
      <c r="O43" s="7" t="n">
        <v>2295</v>
      </c>
      <c r="P43" s="7" t="n">
        <v>1030</v>
      </c>
      <c r="Q43" s="9" t="n">
        <v>0.02147175317907025</v>
      </c>
      <c r="R43" s="8" t="n">
        <v>378.6764705882352</v>
      </c>
      <c r="S43" s="8" t="n">
        <v>0.127395918367347</v>
      </c>
      <c r="T43" s="8" t="n">
        <v>6.060582524271846</v>
      </c>
      <c r="U43" s="9" t="n">
        <v>506.0582524271846</v>
      </c>
      <c r="V43" s="7" t="n"/>
      <c r="W43" s="7" t="n"/>
      <c r="X43" s="6" t="n"/>
    </row>
    <row r="44">
      <c r="A44" s="2" t="inlineStr">
        <is>
          <t>קריית ביאליק</t>
        </is>
      </c>
      <c r="B44" s="3" t="n">
        <v>43267</v>
      </c>
      <c r="C44" s="3" t="n">
        <v>44806</v>
      </c>
      <c r="D44" s="3" t="n">
        <v>47072</v>
      </c>
      <c r="E44" s="3" t="n">
        <v>48465</v>
      </c>
      <c r="F44" s="3" t="n">
        <v>17477</v>
      </c>
      <c r="G44" s="4" t="n">
        <v>2.5</v>
      </c>
      <c r="H44" s="4" t="n">
        <v>2.7</v>
      </c>
      <c r="I44" s="3" t="n">
        <v>3086</v>
      </c>
      <c r="J44" s="4" t="n">
        <v>0.95</v>
      </c>
      <c r="K44" s="3" t="n">
        <v>17500</v>
      </c>
      <c r="L44" s="3" t="n">
        <v>18500</v>
      </c>
      <c r="M44" s="5" t="n">
        <v>0.05714285714285714</v>
      </c>
      <c r="N44" s="3" t="n">
        <v>17950</v>
      </c>
      <c r="O44" s="3" t="n">
        <v>2931.7</v>
      </c>
      <c r="P44" s="3" t="n">
        <v>5198</v>
      </c>
      <c r="Q44" s="5" t="n">
        <v>0.1201377493239651</v>
      </c>
      <c r="R44" s="4" t="n">
        <v>1925.185185185185</v>
      </c>
      <c r="S44" s="4" t="n">
        <v>0.1633259052924791</v>
      </c>
      <c r="T44" s="4" t="n">
        <v>1.522814544055406</v>
      </c>
      <c r="U44" s="5" t="n">
        <v>52.28145440554059</v>
      </c>
      <c r="V44" s="3" t="n"/>
      <c r="W44" s="3" t="n"/>
      <c r="X44" s="2" t="inlineStr">
        <is>
          <t>בדיקה תכנונית מוקדמת</t>
        </is>
      </c>
    </row>
    <row r="45">
      <c r="A45" s="6" t="inlineStr">
        <is>
          <t>כרמיאל</t>
        </is>
      </c>
      <c r="B45" s="7" t="n"/>
      <c r="C45" s="7" t="n">
        <v>47450</v>
      </c>
      <c r="D45" s="7" t="n">
        <v>47941</v>
      </c>
      <c r="E45" s="7" t="n">
        <v>47941</v>
      </c>
      <c r="F45" s="7" t="n">
        <v>17635</v>
      </c>
      <c r="G45" s="8" t="n">
        <v>2.6</v>
      </c>
      <c r="H45" s="8" t="n"/>
      <c r="I45" s="7" t="n"/>
      <c r="J45" s="8" t="n"/>
      <c r="K45" s="7" t="n"/>
      <c r="L45" s="7" t="n"/>
      <c r="M45" s="9" t="n"/>
      <c r="N45" s="7" t="n"/>
      <c r="O45" s="7" t="n"/>
      <c r="P45" s="7" t="n"/>
      <c r="Q45" s="9" t="n"/>
      <c r="R45" s="8" t="n"/>
      <c r="S45" s="8" t="n"/>
      <c r="T45" s="8" t="n"/>
      <c r="U45" s="9" t="n"/>
      <c r="V45" s="7" t="n"/>
      <c r="W45" s="7" t="n"/>
      <c r="X45" s="6" t="n"/>
    </row>
    <row r="46">
      <c r="A46" s="2" t="inlineStr">
        <is>
          <t>נס ציונה</t>
        </is>
      </c>
      <c r="B46" s="3" t="n"/>
      <c r="C46" s="3" t="n">
        <v>47620</v>
      </c>
      <c r="D46" s="3" t="n">
        <v>47268</v>
      </c>
      <c r="E46" s="3" t="n">
        <v>47268</v>
      </c>
      <c r="F46" s="3" t="n">
        <v>15319</v>
      </c>
      <c r="G46" s="4" t="n">
        <v>3.1</v>
      </c>
      <c r="H46" s="4" t="n"/>
      <c r="I46" s="3" t="n"/>
      <c r="J46" s="4" t="n"/>
      <c r="K46" s="3" t="n"/>
      <c r="L46" s="3" t="n"/>
      <c r="M46" s="5" t="n"/>
      <c r="N46" s="3" t="n"/>
      <c r="O46" s="3" t="n"/>
      <c r="P46" s="3" t="n"/>
      <c r="Q46" s="5" t="n"/>
      <c r="R46" s="4" t="n"/>
      <c r="S46" s="4" t="n"/>
      <c r="T46" s="4" t="n"/>
      <c r="U46" s="5" t="n"/>
      <c r="V46" s="3" t="n"/>
      <c r="W46" s="3" t="n"/>
      <c r="X46" s="2" t="n"/>
    </row>
    <row r="47">
      <c r="A47" s="6" t="inlineStr">
        <is>
          <t>טייבה</t>
        </is>
      </c>
      <c r="B47" s="7" t="n"/>
      <c r="C47" s="7" t="n">
        <v>45071</v>
      </c>
      <c r="D47" s="7" t="n">
        <v>46870</v>
      </c>
      <c r="E47" s="7" t="n">
        <v>46870</v>
      </c>
      <c r="F47" s="7" t="n">
        <v>12947</v>
      </c>
      <c r="G47" s="8" t="n">
        <v>3.5</v>
      </c>
      <c r="H47" s="8" t="n"/>
      <c r="I47" s="7" t="n"/>
      <c r="J47" s="8" t="n"/>
      <c r="K47" s="7" t="n"/>
      <c r="L47" s="7" t="n"/>
      <c r="M47" s="9" t="n"/>
      <c r="N47" s="7" t="n"/>
      <c r="O47" s="7" t="n"/>
      <c r="P47" s="7" t="n"/>
      <c r="Q47" s="9" t="n"/>
      <c r="R47" s="8" t="n"/>
      <c r="S47" s="8" t="n"/>
      <c r="T47" s="8" t="n"/>
      <c r="U47" s="9" t="n"/>
      <c r="V47" s="7" t="n"/>
      <c r="W47" s="7" t="n"/>
      <c r="X47" s="6" t="n"/>
    </row>
    <row r="48">
      <c r="A48" s="2" t="inlineStr">
        <is>
          <t>פרדס חנה-כרכור</t>
        </is>
      </c>
      <c r="B48" s="3" t="n"/>
      <c r="C48" s="3" t="n">
        <v>44161</v>
      </c>
      <c r="D48" s="3" t="n">
        <v>46601</v>
      </c>
      <c r="E48" s="3" t="n">
        <v>46601</v>
      </c>
      <c r="F48" s="3" t="n">
        <v>14752</v>
      </c>
      <c r="G48" s="4" t="n">
        <v>2.9</v>
      </c>
      <c r="H48" s="4" t="n"/>
      <c r="I48" s="3" t="n"/>
      <c r="J48" s="4" t="n"/>
      <c r="K48" s="3" t="n"/>
      <c r="L48" s="3" t="n"/>
      <c r="M48" s="5" t="n"/>
      <c r="N48" s="3" t="n"/>
      <c r="O48" s="3" t="n"/>
      <c r="P48" s="3" t="n"/>
      <c r="Q48" s="5" t="n"/>
      <c r="R48" s="4" t="n"/>
      <c r="S48" s="4" t="n"/>
      <c r="T48" s="4" t="n"/>
      <c r="U48" s="5" t="n"/>
      <c r="V48" s="3" t="n"/>
      <c r="W48" s="3" t="n"/>
      <c r="X48" s="2" t="n"/>
    </row>
    <row r="49">
      <c r="A49" s="6" t="inlineStr">
        <is>
          <t>נוף הגליל</t>
        </is>
      </c>
      <c r="B49" s="7" t="n">
        <v>42657</v>
      </c>
      <c r="C49" s="7" t="n">
        <v>43479</v>
      </c>
      <c r="D49" s="7" t="n">
        <v>45805</v>
      </c>
      <c r="E49" s="7" t="n">
        <v>46196</v>
      </c>
      <c r="F49" s="7" t="n">
        <v>16481</v>
      </c>
      <c r="G49" s="8" t="n">
        <v>2.6</v>
      </c>
      <c r="H49" s="8" t="n">
        <v>2.98</v>
      </c>
      <c r="I49" s="7" t="n">
        <v>2248</v>
      </c>
      <c r="J49" s="8" t="n">
        <v>1</v>
      </c>
      <c r="K49" s="7" t="n">
        <v>10500</v>
      </c>
      <c r="L49" s="7" t="n">
        <v>12000</v>
      </c>
      <c r="M49" s="9" t="n">
        <v>0.1428571428571428</v>
      </c>
      <c r="N49" s="7" t="n">
        <v>15502.01342281879</v>
      </c>
      <c r="O49" s="7" t="n">
        <v>2248</v>
      </c>
      <c r="P49" s="7" t="n">
        <v>3539</v>
      </c>
      <c r="Q49" s="9" t="n">
        <v>0.082964109055958</v>
      </c>
      <c r="R49" s="8" t="n">
        <v>1187.58389261745</v>
      </c>
      <c r="S49" s="8" t="n">
        <v>0.1450134210754178</v>
      </c>
      <c r="T49" s="8" t="n">
        <v>1.892918903645098</v>
      </c>
      <c r="U49" s="9" t="n">
        <v>89.29189036450975</v>
      </c>
      <c r="V49" s="7" t="n"/>
      <c r="W49" s="7" t="n"/>
      <c r="X49" s="6" t="n"/>
    </row>
    <row r="50">
      <c r="A50" s="2" t="inlineStr">
        <is>
          <t>קריית אונו</t>
        </is>
      </c>
      <c r="B50" s="3" t="n"/>
      <c r="C50" s="3" t="n">
        <v>41537</v>
      </c>
      <c r="D50" s="3" t="n">
        <v>45048</v>
      </c>
      <c r="E50" s="3" t="n">
        <v>45048</v>
      </c>
      <c r="F50" s="3" t="n">
        <v>14014</v>
      </c>
      <c r="G50" s="4" t="n">
        <v>2.9</v>
      </c>
      <c r="H50" s="4" t="n"/>
      <c r="I50" s="3" t="n"/>
      <c r="J50" s="4" t="n"/>
      <c r="K50" s="3" t="n"/>
      <c r="L50" s="3" t="n"/>
      <c r="M50" s="5" t="n"/>
      <c r="N50" s="3" t="n"/>
      <c r="O50" s="3" t="n"/>
      <c r="P50" s="3" t="n"/>
      <c r="Q50" s="5" t="n"/>
      <c r="R50" s="4" t="n"/>
      <c r="S50" s="4" t="n"/>
      <c r="T50" s="4" t="n"/>
      <c r="U50" s="5" t="n"/>
      <c r="V50" s="3" t="n"/>
      <c r="W50" s="3" t="n"/>
      <c r="X50" s="2" t="n"/>
    </row>
    <row r="51">
      <c r="A51" s="6" t="inlineStr">
        <is>
          <t>שפרעם</t>
        </is>
      </c>
      <c r="B51" s="7" t="n"/>
      <c r="C51" s="7" t="n">
        <v>42713</v>
      </c>
      <c r="D51" s="7" t="n">
        <v>43858</v>
      </c>
      <c r="E51" s="7" t="n">
        <v>43858</v>
      </c>
      <c r="F51" s="7" t="n">
        <v>12209</v>
      </c>
      <c r="G51" s="8" t="n">
        <v>3.5</v>
      </c>
      <c r="H51" s="8" t="n"/>
      <c r="I51" s="7" t="n"/>
      <c r="J51" s="8" t="n"/>
      <c r="K51" s="7" t="n"/>
      <c r="L51" s="7" t="n"/>
      <c r="M51" s="9" t="n"/>
      <c r="N51" s="7" t="n"/>
      <c r="O51" s="7" t="n"/>
      <c r="P51" s="7" t="n"/>
      <c r="Q51" s="9" t="n"/>
      <c r="R51" s="8" t="n"/>
      <c r="S51" s="8" t="n"/>
      <c r="T51" s="8" t="n"/>
      <c r="U51" s="9" t="n"/>
      <c r="V51" s="7" t="n"/>
      <c r="W51" s="7" t="n"/>
      <c r="X51" s="6" t="n"/>
    </row>
    <row r="52">
      <c r="A52" s="2" t="inlineStr">
        <is>
          <t>אור יהודה</t>
        </is>
      </c>
      <c r="B52" s="3" t="n">
        <v>36815</v>
      </c>
      <c r="C52" s="3" t="n">
        <v>36850</v>
      </c>
      <c r="D52" s="3" t="n">
        <v>41130</v>
      </c>
      <c r="E52" s="3" t="n">
        <v>42000</v>
      </c>
      <c r="F52" s="3" t="n">
        <v>12040</v>
      </c>
      <c r="G52" s="4" t="n">
        <v>3</v>
      </c>
      <c r="H52" s="4" t="n">
        <v>3.5</v>
      </c>
      <c r="I52" s="3" t="n">
        <v>2817</v>
      </c>
      <c r="J52" s="4" t="n">
        <v>0.85</v>
      </c>
      <c r="K52" s="3" t="n">
        <v>26000</v>
      </c>
      <c r="L52" s="3" t="n">
        <v>28000</v>
      </c>
      <c r="M52" s="5" t="n">
        <v>0.07692307692307693</v>
      </c>
      <c r="N52" s="3" t="n">
        <v>12000</v>
      </c>
      <c r="O52" s="3" t="n">
        <v>2394.45</v>
      </c>
      <c r="P52" s="3" t="n">
        <v>5185</v>
      </c>
      <c r="Q52" s="5" t="n">
        <v>0.1408393317941057</v>
      </c>
      <c r="R52" s="4" t="n">
        <v>1481.428571428571</v>
      </c>
      <c r="S52" s="4" t="n">
        <v>0.1995375</v>
      </c>
      <c r="T52" s="4" t="n">
        <v>1.616311475409836</v>
      </c>
      <c r="U52" s="5" t="n">
        <v>61.6311475409836</v>
      </c>
      <c r="V52" s="3" t="n"/>
      <c r="W52" s="3" t="n"/>
      <c r="X52" s="2" t="n"/>
    </row>
    <row r="53">
      <c r="A53" s="6" t="inlineStr">
        <is>
          <t>קריית ים</t>
        </is>
      </c>
      <c r="B53" s="7" t="n"/>
      <c r="C53" s="7" t="n">
        <v>38906</v>
      </c>
      <c r="D53" s="7" t="n">
        <v>41959</v>
      </c>
      <c r="E53" s="7" t="n">
        <v>41959</v>
      </c>
      <c r="F53" s="7" t="n">
        <v>15714</v>
      </c>
      <c r="G53" s="8" t="n">
        <v>2.4</v>
      </c>
      <c r="H53" s="8" t="n"/>
      <c r="I53" s="7" t="n"/>
      <c r="J53" s="8" t="n"/>
      <c r="K53" s="7" t="n"/>
      <c r="L53" s="7" t="n"/>
      <c r="M53" s="9" t="n"/>
      <c r="N53" s="7" t="n"/>
      <c r="O53" s="7" t="n"/>
      <c r="P53" s="7" t="n"/>
      <c r="Q53" s="9" t="n"/>
      <c r="R53" s="8" t="n"/>
      <c r="S53" s="8" t="n"/>
      <c r="T53" s="8" t="n"/>
      <c r="U53" s="9" t="n"/>
      <c r="V53" s="7" t="n"/>
      <c r="W53" s="7" t="n"/>
      <c r="X53" s="6" t="n"/>
    </row>
    <row r="54">
      <c r="A54" s="2" t="inlineStr">
        <is>
          <t>אופקים</t>
        </is>
      </c>
      <c r="B54" s="3" t="n">
        <v>33999</v>
      </c>
      <c r="C54" s="3" t="n">
        <v>35355</v>
      </c>
      <c r="D54" s="3" t="n">
        <v>39894</v>
      </c>
      <c r="E54" s="3" t="n">
        <v>41925</v>
      </c>
      <c r="F54" s="3" t="n">
        <v>10088</v>
      </c>
      <c r="G54" s="4" t="n">
        <v>3.4</v>
      </c>
      <c r="H54" s="4" t="n">
        <v>3.5</v>
      </c>
      <c r="I54" s="3" t="n">
        <v>6579</v>
      </c>
      <c r="J54" s="4" t="n">
        <v>1</v>
      </c>
      <c r="K54" s="3" t="n">
        <v>10750</v>
      </c>
      <c r="L54" s="3" t="n">
        <v>13200</v>
      </c>
      <c r="M54" s="5" t="n">
        <v>0.2279069767441861</v>
      </c>
      <c r="N54" s="3" t="n">
        <v>11978.57142857143</v>
      </c>
      <c r="O54" s="3" t="n">
        <v>6579</v>
      </c>
      <c r="P54" s="3" t="n">
        <v>7926</v>
      </c>
      <c r="Q54" s="5" t="n">
        <v>0.2331245036618724</v>
      </c>
      <c r="R54" s="4" t="n">
        <v>2264.571428571428</v>
      </c>
      <c r="S54" s="4" t="n">
        <v>0.5492307692307692</v>
      </c>
      <c r="T54" s="4" t="n">
        <v>2.905185465556397</v>
      </c>
      <c r="U54" s="5" t="n">
        <v>190.5185465556397</v>
      </c>
      <c r="V54" s="3" t="n"/>
      <c r="W54" s="3" t="n"/>
      <c r="X54" s="2" t="n"/>
    </row>
    <row r="55">
      <c r="A55" s="6" t="inlineStr">
        <is>
          <t>חריש</t>
        </is>
      </c>
      <c r="B55" s="7" t="n"/>
      <c r="C55" s="7" t="n">
        <v>31733</v>
      </c>
      <c r="D55" s="7" t="n">
        <v>41574</v>
      </c>
      <c r="E55" s="7" t="n">
        <v>41574</v>
      </c>
      <c r="F55" s="7" t="n">
        <v>9545</v>
      </c>
      <c r="G55" s="8" t="n">
        <v>3.3</v>
      </c>
      <c r="H55" s="8" t="n"/>
      <c r="I55" s="7" t="n"/>
      <c r="J55" s="8" t="n"/>
      <c r="K55" s="7" t="n"/>
      <c r="L55" s="7" t="n"/>
      <c r="M55" s="9" t="n"/>
      <c r="N55" s="7" t="n"/>
      <c r="O55" s="7" t="n"/>
      <c r="P55" s="7" t="n"/>
      <c r="Q55" s="9" t="n"/>
      <c r="R55" s="8" t="n"/>
      <c r="S55" s="8" t="n"/>
      <c r="T55" s="8" t="n"/>
      <c r="U55" s="9" t="n"/>
      <c r="V55" s="7" t="n"/>
      <c r="W55" s="7" t="n"/>
      <c r="X55" s="6" t="n"/>
    </row>
    <row r="56">
      <c r="A56" s="2" t="inlineStr">
        <is>
          <t>דימונה</t>
        </is>
      </c>
      <c r="B56" s="3" t="n"/>
      <c r="C56" s="3" t="n">
        <v>37213</v>
      </c>
      <c r="D56" s="3" t="n">
        <v>39590</v>
      </c>
      <c r="E56" s="3" t="n">
        <v>39590</v>
      </c>
      <c r="F56" s="3" t="n">
        <v>12969</v>
      </c>
      <c r="G56" s="4" t="n">
        <v>2.8</v>
      </c>
      <c r="H56" s="4" t="n"/>
      <c r="I56" s="3" t="n"/>
      <c r="J56" s="4" t="n"/>
      <c r="K56" s="3" t="n"/>
      <c r="L56" s="3" t="n"/>
      <c r="M56" s="5" t="n"/>
      <c r="N56" s="3" t="n"/>
      <c r="O56" s="3" t="n"/>
      <c r="P56" s="3" t="n"/>
      <c r="Q56" s="5" t="n"/>
      <c r="R56" s="4" t="n"/>
      <c r="S56" s="4" t="n"/>
      <c r="T56" s="4" t="n"/>
      <c r="U56" s="5" t="n"/>
      <c r="V56" s="3" t="n"/>
      <c r="W56" s="3" t="n"/>
      <c r="X56" s="2" t="n"/>
    </row>
    <row r="57">
      <c r="A57" s="6" t="inlineStr">
        <is>
          <t>צפת</t>
        </is>
      </c>
      <c r="B57" s="7" t="n"/>
      <c r="C57" s="7" t="n">
        <v>37801</v>
      </c>
      <c r="D57" s="7" t="n">
        <v>38687</v>
      </c>
      <c r="E57" s="7" t="n">
        <v>38687</v>
      </c>
      <c r="F57" s="7" t="n">
        <v>10891</v>
      </c>
      <c r="G57" s="8" t="n">
        <v>3.4</v>
      </c>
      <c r="H57" s="8" t="n"/>
      <c r="I57" s="7" t="n"/>
      <c r="J57" s="8" t="n"/>
      <c r="K57" s="7" t="n"/>
      <c r="L57" s="7" t="n"/>
      <c r="M57" s="9" t="n"/>
      <c r="N57" s="7" t="n"/>
      <c r="O57" s="7" t="n"/>
      <c r="P57" s="7" t="n"/>
      <c r="Q57" s="9" t="n"/>
      <c r="R57" s="8" t="n"/>
      <c r="S57" s="8" t="n"/>
      <c r="T57" s="8" t="n"/>
      <c r="U57" s="9" t="n"/>
      <c r="V57" s="7" t="n"/>
      <c r="W57" s="7" t="n"/>
      <c r="X57" s="6" t="n"/>
    </row>
    <row r="58">
      <c r="A58" s="2" t="inlineStr">
        <is>
          <t>שדרות</t>
        </is>
      </c>
      <c r="B58" s="3" t="n"/>
      <c r="C58" s="3" t="n">
        <v>31108</v>
      </c>
      <c r="D58" s="3" t="n">
        <v>37239</v>
      </c>
      <c r="E58" s="3" t="n">
        <v>37239</v>
      </c>
      <c r="F58" s="3" t="n">
        <v>9928</v>
      </c>
      <c r="G58" s="4" t="n">
        <v>3</v>
      </c>
      <c r="H58" s="4" t="n"/>
      <c r="I58" s="3" t="n"/>
      <c r="J58" s="4" t="n"/>
      <c r="K58" s="3" t="n">
        <v>11500</v>
      </c>
      <c r="L58" s="3" t="n">
        <v>13500</v>
      </c>
      <c r="M58" s="5" t="n">
        <v>0.1739130434782609</v>
      </c>
      <c r="N58" s="3" t="n"/>
      <c r="O58" s="3" t="n"/>
      <c r="P58" s="3" t="n"/>
      <c r="Q58" s="5" t="n"/>
      <c r="R58" s="4" t="n"/>
      <c r="S58" s="4" t="n"/>
      <c r="T58" s="4" t="n"/>
      <c r="U58" s="5" t="n"/>
      <c r="V58" s="3" t="n"/>
      <c r="W58" s="3" t="n"/>
      <c r="X58" s="2" t="inlineStr">
        <is>
          <t>שיקום פעיל (חרבות ברזל)</t>
        </is>
      </c>
    </row>
    <row r="59">
      <c r="A59" s="6" t="inlineStr">
        <is>
          <t>טמרה</t>
        </is>
      </c>
      <c r="B59" s="7" t="n"/>
      <c r="C59" s="7" t="n">
        <v>35349</v>
      </c>
      <c r="D59" s="7" t="n">
        <v>36919</v>
      </c>
      <c r="E59" s="7" t="n">
        <v>36919</v>
      </c>
      <c r="F59" s="7" t="n">
        <v>9713</v>
      </c>
      <c r="G59" s="8" t="n">
        <v>3.6</v>
      </c>
      <c r="H59" s="8" t="n"/>
      <c r="I59" s="7" t="n"/>
      <c r="J59" s="8" t="n"/>
      <c r="K59" s="7" t="n"/>
      <c r="L59" s="7" t="n"/>
      <c r="M59" s="9" t="n"/>
      <c r="N59" s="7" t="n"/>
      <c r="O59" s="7" t="n"/>
      <c r="P59" s="7" t="n"/>
      <c r="Q59" s="9" t="n"/>
      <c r="R59" s="8" t="n"/>
      <c r="S59" s="8" t="n"/>
      <c r="T59" s="8" t="n"/>
      <c r="U59" s="9" t="n"/>
      <c r="V59" s="7" t="n"/>
      <c r="W59" s="7" t="n"/>
      <c r="X59" s="6" t="n"/>
    </row>
    <row r="60">
      <c r="A60" s="2" t="inlineStr">
        <is>
          <t>מעלה אדומים</t>
        </is>
      </c>
      <c r="B60" s="3" t="n"/>
      <c r="C60" s="3" t="n">
        <v>36664</v>
      </c>
      <c r="D60" s="3" t="n"/>
      <c r="E60" s="3" t="n"/>
      <c r="F60" s="3" t="n">
        <v>10983</v>
      </c>
      <c r="G60" s="4" t="n">
        <v>3.3</v>
      </c>
      <c r="H60" s="4" t="n"/>
      <c r="I60" s="3" t="n"/>
      <c r="J60" s="4" t="n"/>
      <c r="K60" s="3" t="n"/>
      <c r="L60" s="3" t="n"/>
      <c r="M60" s="5" t="n"/>
      <c r="N60" s="3" t="n"/>
      <c r="O60" s="3" t="n"/>
      <c r="P60" s="3" t="n"/>
      <c r="Q60" s="5" t="n"/>
      <c r="R60" s="4" t="n"/>
      <c r="S60" s="4" t="n"/>
      <c r="T60" s="4" t="n"/>
      <c r="U60" s="5" t="n"/>
      <c r="V60" s="3" t="n"/>
      <c r="W60" s="3" t="n"/>
      <c r="X60" s="2" t="n"/>
    </row>
    <row r="61">
      <c r="A61" s="6" t="inlineStr">
        <is>
          <t>באר יעקב</t>
        </is>
      </c>
      <c r="B61" s="7" t="n">
        <v>29852</v>
      </c>
      <c r="C61" s="7" t="n">
        <v>31439</v>
      </c>
      <c r="D61" s="7" t="n">
        <v>37493</v>
      </c>
      <c r="E61" s="7" t="n">
        <v>36409</v>
      </c>
      <c r="F61" s="7" t="n">
        <v>8886</v>
      </c>
      <c r="G61" s="8" t="n">
        <v>3.4</v>
      </c>
      <c r="H61" s="8" t="n">
        <v>2.6</v>
      </c>
      <c r="I61" s="7" t="n">
        <v>4547</v>
      </c>
      <c r="J61" s="8" t="n">
        <v>1</v>
      </c>
      <c r="K61" s="7" t="n">
        <v>26000</v>
      </c>
      <c r="L61" s="7" t="n">
        <v>27000</v>
      </c>
      <c r="M61" s="9" t="n">
        <v>0.03846153846153846</v>
      </c>
      <c r="N61" s="7" t="n">
        <v>14003.46153846154</v>
      </c>
      <c r="O61" s="7" t="n">
        <v>4547</v>
      </c>
      <c r="P61" s="7" t="n">
        <v>6557</v>
      </c>
      <c r="Q61" s="9" t="n">
        <v>0.2196502746884631</v>
      </c>
      <c r="R61" s="8" t="n">
        <v>2521.923076923077</v>
      </c>
      <c r="S61" s="8" t="n">
        <v>0.3247054299761049</v>
      </c>
      <c r="T61" s="8" t="n">
        <v>1.802989171877383</v>
      </c>
      <c r="U61" s="9" t="n">
        <v>80.29891718773831</v>
      </c>
      <c r="V61" s="7" t="n"/>
      <c r="W61" s="7" t="n"/>
      <c r="X61" s="6" t="n"/>
    </row>
    <row r="62">
      <c r="A62" s="2" t="inlineStr">
        <is>
          <t>סח'נין</t>
        </is>
      </c>
      <c r="B62" s="3" t="n"/>
      <c r="C62" s="3" t="n">
        <v>32355</v>
      </c>
      <c r="D62" s="3" t="n">
        <v>33726</v>
      </c>
      <c r="E62" s="3" t="n">
        <v>33726</v>
      </c>
      <c r="F62" s="3" t="n">
        <v>9151</v>
      </c>
      <c r="G62" s="4" t="n">
        <v>3.5</v>
      </c>
      <c r="H62" s="4" t="n"/>
      <c r="I62" s="3" t="n"/>
      <c r="J62" s="4" t="n"/>
      <c r="K62" s="3" t="n"/>
      <c r="L62" s="3" t="n"/>
      <c r="M62" s="5" t="n"/>
      <c r="N62" s="3" t="n"/>
      <c r="O62" s="3" t="n"/>
      <c r="P62" s="3" t="n"/>
      <c r="Q62" s="5" t="n"/>
      <c r="R62" s="4" t="n"/>
      <c r="S62" s="4" t="n"/>
      <c r="T62" s="4" t="n"/>
      <c r="U62" s="5" t="n"/>
      <c r="V62" s="3" t="n"/>
      <c r="W62" s="3" t="n"/>
      <c r="X62" s="2" t="n"/>
    </row>
    <row r="63">
      <c r="A63" s="6" t="inlineStr">
        <is>
          <t>טירת כרמל</t>
        </is>
      </c>
      <c r="B63" s="7" t="n"/>
      <c r="C63" s="7" t="n">
        <v>29069</v>
      </c>
      <c r="D63" s="7" t="n">
        <v>32166</v>
      </c>
      <c r="E63" s="7" t="n">
        <v>32166</v>
      </c>
      <c r="F63" s="7" t="n">
        <v>10635</v>
      </c>
      <c r="G63" s="8" t="n">
        <v>2.7</v>
      </c>
      <c r="H63" s="8" t="n"/>
      <c r="I63" s="7" t="n"/>
      <c r="J63" s="8" t="n"/>
      <c r="K63" s="7" t="n"/>
      <c r="L63" s="7" t="n"/>
      <c r="M63" s="9" t="n"/>
      <c r="N63" s="7" t="n"/>
      <c r="O63" s="7" t="n"/>
      <c r="P63" s="7" t="n"/>
      <c r="Q63" s="9" t="n"/>
      <c r="R63" s="8" t="n"/>
      <c r="S63" s="8" t="n"/>
      <c r="T63" s="8" t="n"/>
      <c r="U63" s="9" t="n"/>
      <c r="V63" s="7" t="n"/>
      <c r="W63" s="7" t="n"/>
      <c r="X63" s="6" t="n"/>
    </row>
    <row r="64">
      <c r="A64" s="2" t="inlineStr">
        <is>
          <t>יהוד-מונוסון</t>
        </is>
      </c>
      <c r="B64" s="3" t="n">
        <v>30619</v>
      </c>
      <c r="C64" s="3" t="n">
        <v>30977</v>
      </c>
      <c r="D64" s="3" t="n">
        <v>32145</v>
      </c>
      <c r="E64" s="3" t="n">
        <v>31826</v>
      </c>
      <c r="F64" s="3" t="n">
        <v>10873</v>
      </c>
      <c r="G64" s="4" t="n">
        <v>2.8</v>
      </c>
      <c r="H64" s="4" t="n"/>
      <c r="I64" s="3" t="n">
        <v>1725</v>
      </c>
      <c r="J64" s="4" t="n">
        <v>0.8</v>
      </c>
      <c r="K64" s="3" t="n">
        <v>28500</v>
      </c>
      <c r="L64" s="3" t="n">
        <v>31500</v>
      </c>
      <c r="M64" s="5" t="n">
        <v>0.1052631578947368</v>
      </c>
      <c r="N64" s="3" t="n"/>
      <c r="O64" s="3" t="n">
        <v>1380</v>
      </c>
      <c r="P64" s="3" t="n">
        <v>1207</v>
      </c>
      <c r="Q64" s="5" t="n">
        <v>0.03941996799372938</v>
      </c>
      <c r="R64" s="4" t="n"/>
      <c r="S64" s="4" t="n"/>
      <c r="T64" s="4" t="n"/>
      <c r="U64" s="5" t="n"/>
      <c r="V64" s="3" t="n"/>
      <c r="W64" s="3" t="n"/>
      <c r="X64" s="2" t="n"/>
    </row>
    <row r="65">
      <c r="A65" s="6" t="inlineStr">
        <is>
          <t>גדרה</t>
        </is>
      </c>
      <c r="B65" s="7" t="n"/>
      <c r="C65" s="7" t="n">
        <v>29260</v>
      </c>
      <c r="D65" s="7" t="n">
        <v>31389</v>
      </c>
      <c r="E65" s="7" t="n">
        <v>31389</v>
      </c>
      <c r="F65" s="7" t="n">
        <v>8468</v>
      </c>
      <c r="G65" s="8" t="n">
        <v>3.3</v>
      </c>
      <c r="H65" s="8" t="n"/>
      <c r="I65" s="7" t="n"/>
      <c r="J65" s="8" t="n"/>
      <c r="K65" s="7" t="n"/>
      <c r="L65" s="7" t="n"/>
      <c r="M65" s="9" t="n"/>
      <c r="N65" s="7" t="n"/>
      <c r="O65" s="7" t="n"/>
      <c r="P65" s="7" t="n"/>
      <c r="Q65" s="9" t="n"/>
      <c r="R65" s="8" t="n"/>
      <c r="S65" s="8" t="n"/>
      <c r="T65" s="8" t="n"/>
      <c r="U65" s="9" t="n"/>
      <c r="V65" s="7" t="n"/>
      <c r="W65" s="7" t="n"/>
      <c r="X65" s="6" t="n"/>
    </row>
    <row r="66">
      <c r="A66" s="2" t="inlineStr">
        <is>
          <t>באקה אל-גרביה</t>
        </is>
      </c>
      <c r="B66" s="3" t="n"/>
      <c r="C66" s="3" t="n">
        <v>29868</v>
      </c>
      <c r="D66" s="3" t="n">
        <v>31276</v>
      </c>
      <c r="E66" s="3" t="n">
        <v>31276</v>
      </c>
      <c r="F66" s="3" t="n">
        <v>8256</v>
      </c>
      <c r="G66" s="4" t="n">
        <v>3.6</v>
      </c>
      <c r="H66" s="4" t="n"/>
      <c r="I66" s="3" t="n"/>
      <c r="J66" s="4" t="n"/>
      <c r="K66" s="3" t="n"/>
      <c r="L66" s="3" t="n"/>
      <c r="M66" s="5" t="n"/>
      <c r="N66" s="3" t="n"/>
      <c r="O66" s="3" t="n"/>
      <c r="P66" s="3" t="n"/>
      <c r="Q66" s="5" t="n"/>
      <c r="R66" s="4" t="n"/>
      <c r="S66" s="4" t="n"/>
      <c r="T66" s="4" t="n"/>
      <c r="U66" s="5" t="n"/>
      <c r="V66" s="3" t="n"/>
      <c r="W66" s="3" t="n"/>
      <c r="X66" s="2" t="n"/>
    </row>
    <row r="67">
      <c r="A67" s="6" t="inlineStr">
        <is>
          <t>גבעת שמואל</t>
        </is>
      </c>
      <c r="B67" s="7" t="n">
        <v>28162</v>
      </c>
      <c r="C67" s="7" t="n">
        <v>27472</v>
      </c>
      <c r="D67" s="7" t="n">
        <v>29405</v>
      </c>
      <c r="E67" s="7" t="n">
        <v>30317</v>
      </c>
      <c r="F67" s="7" t="n">
        <v>8870</v>
      </c>
      <c r="G67" s="8" t="n">
        <v>3.1</v>
      </c>
      <c r="H67" s="8" t="n">
        <v>2.9</v>
      </c>
      <c r="I67" s="7" t="n">
        <v>2200</v>
      </c>
      <c r="J67" s="8" t="n">
        <v>0.8</v>
      </c>
      <c r="K67" s="7" t="n">
        <v>27500</v>
      </c>
      <c r="L67" s="7" t="n">
        <v>29000</v>
      </c>
      <c r="M67" s="9" t="n">
        <v>0.05454545454545454</v>
      </c>
      <c r="N67" s="7" t="n">
        <v>10454.13793103448</v>
      </c>
      <c r="O67" s="7" t="n">
        <v>1760</v>
      </c>
      <c r="P67" s="7" t="n">
        <v>2155</v>
      </c>
      <c r="Q67" s="9" t="n">
        <v>0.07652155386691287</v>
      </c>
      <c r="R67" s="8" t="n">
        <v>743.1034482758621</v>
      </c>
      <c r="S67" s="8" t="n">
        <v>0.168354388626843</v>
      </c>
      <c r="T67" s="8" t="n">
        <v>2.368445475638051</v>
      </c>
      <c r="U67" s="9" t="n">
        <v>136.8445475638051</v>
      </c>
      <c r="V67" s="7" t="n"/>
      <c r="W67" s="7" t="n"/>
      <c r="X67" s="6" t="n"/>
    </row>
    <row r="68">
      <c r="A68" s="2" t="inlineStr">
        <is>
          <t>כפר יונה</t>
        </is>
      </c>
      <c r="B68" s="3" t="n"/>
      <c r="C68" s="3" t="n">
        <v>28135</v>
      </c>
      <c r="D68" s="3" t="n">
        <v>29820</v>
      </c>
      <c r="E68" s="3" t="n">
        <v>29820</v>
      </c>
      <c r="F68" s="3" t="n">
        <v>8892</v>
      </c>
      <c r="G68" s="4" t="n">
        <v>3.1</v>
      </c>
      <c r="H68" s="4" t="n"/>
      <c r="I68" s="3" t="n"/>
      <c r="J68" s="4" t="n"/>
      <c r="K68" s="3" t="n"/>
      <c r="L68" s="3" t="n"/>
      <c r="M68" s="5" t="n"/>
      <c r="N68" s="3" t="n"/>
      <c r="O68" s="3" t="n"/>
      <c r="P68" s="3" t="n"/>
      <c r="Q68" s="5" t="n"/>
      <c r="R68" s="4" t="n"/>
      <c r="S68" s="4" t="n"/>
      <c r="T68" s="4" t="n"/>
      <c r="U68" s="5" t="n"/>
      <c r="V68" s="3" t="n"/>
      <c r="W68" s="3" t="n"/>
      <c r="X68" s="2" t="n"/>
    </row>
    <row r="69">
      <c r="A69" s="6" t="inlineStr">
        <is>
          <t>ערד</t>
        </is>
      </c>
      <c r="B69" s="7" t="n"/>
      <c r="C69" s="7" t="n">
        <v>27586</v>
      </c>
      <c r="D69" s="7" t="n">
        <v>29505</v>
      </c>
      <c r="E69" s="7" t="n">
        <v>29505</v>
      </c>
      <c r="F69" s="7" t="n">
        <v>9203</v>
      </c>
      <c r="G69" s="8" t="n">
        <v>2.9</v>
      </c>
      <c r="H69" s="8" t="n"/>
      <c r="I69" s="7" t="n"/>
      <c r="J69" s="8" t="n"/>
      <c r="K69" s="7" t="n"/>
      <c r="L69" s="7" t="n"/>
      <c r="M69" s="9" t="n"/>
      <c r="N69" s="7" t="n"/>
      <c r="O69" s="7" t="n"/>
      <c r="P69" s="7" t="n"/>
      <c r="Q69" s="9" t="n"/>
      <c r="R69" s="8" t="n"/>
      <c r="S69" s="8" t="n"/>
      <c r="T69" s="8" t="n"/>
      <c r="U69" s="9" t="n"/>
      <c r="V69" s="7" t="n"/>
      <c r="W69" s="7" t="n"/>
      <c r="X69" s="6" t="n"/>
    </row>
    <row r="70">
      <c r="A70" s="2" t="inlineStr">
        <is>
          <t>מגדל העמק</t>
        </is>
      </c>
      <c r="B70" s="3" t="n"/>
      <c r="C70" s="3" t="n">
        <v>27045</v>
      </c>
      <c r="D70" s="3" t="n">
        <v>28431</v>
      </c>
      <c r="E70" s="3" t="n">
        <v>28431</v>
      </c>
      <c r="F70" s="3" t="n">
        <v>9398</v>
      </c>
      <c r="G70" s="4" t="n">
        <v>2.8</v>
      </c>
      <c r="H70" s="4" t="n"/>
      <c r="I70" s="3" t="n"/>
      <c r="J70" s="4" t="n"/>
      <c r="K70" s="3" t="n"/>
      <c r="L70" s="3" t="n"/>
      <c r="M70" s="5" t="n"/>
      <c r="N70" s="3" t="n"/>
      <c r="O70" s="3" t="n"/>
      <c r="P70" s="3" t="n"/>
      <c r="Q70" s="5" t="n"/>
      <c r="R70" s="4" t="n"/>
      <c r="S70" s="4" t="n"/>
      <c r="T70" s="4" t="n"/>
      <c r="U70" s="5" t="n"/>
      <c r="V70" s="3" t="n"/>
      <c r="W70" s="3" t="n"/>
      <c r="X70" s="2" t="n"/>
    </row>
    <row r="71">
      <c r="A71" s="6" t="inlineStr">
        <is>
          <t>כפר קאסם</t>
        </is>
      </c>
      <c r="B71" s="7" t="n"/>
      <c r="C71" s="7" t="n">
        <v>26389</v>
      </c>
      <c r="D71" s="7" t="n">
        <v>27997</v>
      </c>
      <c r="E71" s="7" t="n">
        <v>27997</v>
      </c>
      <c r="F71" s="7" t="n">
        <v>6819</v>
      </c>
      <c r="G71" s="8" t="n">
        <v>3.8</v>
      </c>
      <c r="H71" s="8" t="n"/>
      <c r="I71" s="7" t="n"/>
      <c r="J71" s="8" t="n"/>
      <c r="K71" s="7" t="n"/>
      <c r="L71" s="7" t="n"/>
      <c r="M71" s="9" t="n"/>
      <c r="N71" s="7" t="n"/>
      <c r="O71" s="7" t="n"/>
      <c r="P71" s="7" t="n"/>
      <c r="Q71" s="9" t="n"/>
      <c r="R71" s="8" t="n"/>
      <c r="S71" s="8" t="n"/>
      <c r="T71" s="8" t="n"/>
      <c r="U71" s="9" t="n"/>
      <c r="V71" s="7" t="n"/>
      <c r="W71" s="7" t="n"/>
      <c r="X71" s="6" t="n"/>
    </row>
    <row r="72">
      <c r="A72" s="2" t="inlineStr">
        <is>
          <t>קריית מלאכי</t>
        </is>
      </c>
      <c r="B72" s="3" t="n"/>
      <c r="C72" s="3" t="n">
        <v>26362</v>
      </c>
      <c r="D72" s="3" t="n">
        <v>27957</v>
      </c>
      <c r="E72" s="3" t="n">
        <v>27957</v>
      </c>
      <c r="F72" s="3" t="n">
        <v>7748</v>
      </c>
      <c r="G72" s="4" t="n">
        <v>3.3</v>
      </c>
      <c r="H72" s="4" t="n"/>
      <c r="I72" s="3" t="n"/>
      <c r="J72" s="4" t="n"/>
      <c r="K72" s="3" t="n"/>
      <c r="L72" s="3" t="n"/>
      <c r="M72" s="5" t="n"/>
      <c r="N72" s="3" t="n"/>
      <c r="O72" s="3" t="n"/>
      <c r="P72" s="3" t="n"/>
      <c r="Q72" s="5" t="n"/>
      <c r="R72" s="4" t="n"/>
      <c r="S72" s="4" t="n"/>
      <c r="T72" s="4" t="n"/>
      <c r="U72" s="5" t="n"/>
      <c r="V72" s="3" t="n"/>
      <c r="W72" s="3" t="n"/>
      <c r="X72" s="2" t="n"/>
    </row>
    <row r="73">
      <c r="A73" s="6" t="inlineStr">
        <is>
          <t>טירה</t>
        </is>
      </c>
      <c r="B73" s="7" t="n"/>
      <c r="C73" s="7" t="n">
        <v>26567</v>
      </c>
      <c r="D73" s="7" t="n">
        <v>27680</v>
      </c>
      <c r="E73" s="7" t="n">
        <v>27680</v>
      </c>
      <c r="F73" s="7" t="n">
        <v>7771</v>
      </c>
      <c r="G73" s="8" t="n">
        <v>3.4</v>
      </c>
      <c r="H73" s="8" t="n"/>
      <c r="I73" s="7" t="n"/>
      <c r="J73" s="8" t="n"/>
      <c r="K73" s="7" t="n"/>
      <c r="L73" s="7" t="n"/>
      <c r="M73" s="9" t="n"/>
      <c r="N73" s="7" t="n"/>
      <c r="O73" s="7" t="n"/>
      <c r="P73" s="7" t="n"/>
      <c r="Q73" s="9" t="n"/>
      <c r="R73" s="8" t="n"/>
      <c r="S73" s="8" t="n"/>
      <c r="T73" s="8" t="n"/>
      <c r="U73" s="9" t="n"/>
      <c r="V73" s="7" t="n"/>
      <c r="W73" s="7" t="n"/>
      <c r="X73" s="6" t="n"/>
    </row>
    <row r="74">
      <c r="A74" s="2" t="inlineStr">
        <is>
          <t>עראבה</t>
        </is>
      </c>
      <c r="B74" s="3" t="n"/>
      <c r="C74" s="3" t="n">
        <v>26119</v>
      </c>
      <c r="D74" s="3" t="n">
        <v>27175</v>
      </c>
      <c r="E74" s="3" t="n">
        <v>27175</v>
      </c>
      <c r="F74" s="3" t="n">
        <v>6965</v>
      </c>
      <c r="G74" s="4" t="n">
        <v>3.7</v>
      </c>
      <c r="H74" s="4" t="n"/>
      <c r="I74" s="3" t="n"/>
      <c r="J74" s="4" t="n"/>
      <c r="K74" s="3" t="n"/>
      <c r="L74" s="3" t="n"/>
      <c r="M74" s="5" t="n"/>
      <c r="N74" s="3" t="n"/>
      <c r="O74" s="3" t="n"/>
      <c r="P74" s="3" t="n"/>
      <c r="Q74" s="5" t="n"/>
      <c r="R74" s="4" t="n"/>
      <c r="S74" s="4" t="n"/>
      <c r="T74" s="4" t="n"/>
      <c r="U74" s="5" t="n"/>
      <c r="V74" s="3" t="n"/>
      <c r="W74" s="3" t="n"/>
      <c r="X74" s="2" t="n"/>
    </row>
    <row r="75">
      <c r="A75" s="6" t="inlineStr">
        <is>
          <t>מבשרת ציון</t>
        </is>
      </c>
      <c r="B75" s="7" t="n"/>
      <c r="C75" s="7" t="n">
        <v>25476</v>
      </c>
      <c r="D75" s="7" t="n">
        <v>26534</v>
      </c>
      <c r="E75" s="7" t="n">
        <v>26534</v>
      </c>
      <c r="F75" s="7" t="n">
        <v>8787</v>
      </c>
      <c r="G75" s="8" t="n">
        <v>2.9</v>
      </c>
      <c r="H75" s="8" t="n"/>
      <c r="I75" s="7" t="n"/>
      <c r="J75" s="8" t="n"/>
      <c r="K75" s="7" t="n"/>
      <c r="L75" s="7" t="n"/>
      <c r="M75" s="9" t="n"/>
      <c r="N75" s="7" t="n"/>
      <c r="O75" s="7" t="n"/>
      <c r="P75" s="7" t="n"/>
      <c r="Q75" s="9" t="n"/>
      <c r="R75" s="8" t="n"/>
      <c r="S75" s="8" t="n"/>
      <c r="T75" s="8" t="n"/>
      <c r="U75" s="9" t="n"/>
      <c r="V75" s="7" t="n"/>
      <c r="W75" s="7" t="n"/>
      <c r="X75" s="6" t="n"/>
    </row>
    <row r="76">
      <c r="A76" s="2" t="inlineStr">
        <is>
          <t>אור עקיבא</t>
        </is>
      </c>
      <c r="B76" s="3" t="n"/>
      <c r="C76" s="3" t="n">
        <v>22173</v>
      </c>
      <c r="D76" s="3" t="n">
        <v>25922</v>
      </c>
      <c r="E76" s="3" t="n">
        <v>25922</v>
      </c>
      <c r="F76" s="3" t="n">
        <v>7951</v>
      </c>
      <c r="G76" s="4" t="n">
        <v>2.7</v>
      </c>
      <c r="H76" s="4" t="n"/>
      <c r="I76" s="3" t="n"/>
      <c r="J76" s="4" t="n"/>
      <c r="K76" s="3" t="n"/>
      <c r="L76" s="3" t="n"/>
      <c r="M76" s="5" t="n"/>
      <c r="N76" s="3" t="n"/>
      <c r="O76" s="3" t="n"/>
      <c r="P76" s="3" t="n"/>
      <c r="Q76" s="5" t="n"/>
      <c r="R76" s="4" t="n"/>
      <c r="S76" s="4" t="n"/>
      <c r="T76" s="4" t="n"/>
      <c r="U76" s="5" t="n"/>
      <c r="V76" s="3" t="n"/>
      <c r="W76" s="3" t="n"/>
      <c r="X76" s="2" t="n"/>
    </row>
    <row r="77">
      <c r="A77" s="6" t="inlineStr">
        <is>
          <t>גני תקווה</t>
        </is>
      </c>
      <c r="B77" s="7" t="n"/>
      <c r="C77" s="7" t="n">
        <v>23650</v>
      </c>
      <c r="D77" s="7" t="n">
        <v>25487</v>
      </c>
      <c r="E77" s="7" t="n">
        <v>25487</v>
      </c>
      <c r="F77" s="7" t="n">
        <v>7520</v>
      </c>
      <c r="G77" s="8" t="n">
        <v>3.1</v>
      </c>
      <c r="H77" s="8" t="n"/>
      <c r="I77" s="7" t="n"/>
      <c r="J77" s="8" t="n"/>
      <c r="K77" s="7" t="n"/>
      <c r="L77" s="7" t="n"/>
      <c r="M77" s="9" t="n"/>
      <c r="N77" s="7" t="n"/>
      <c r="O77" s="7" t="n"/>
      <c r="P77" s="7" t="n"/>
      <c r="Q77" s="9" t="n"/>
      <c r="R77" s="8" t="n"/>
      <c r="S77" s="8" t="n"/>
      <c r="T77" s="8" t="n"/>
      <c r="U77" s="9" t="n"/>
      <c r="V77" s="7" t="n"/>
      <c r="W77" s="7" t="n"/>
      <c r="X77" s="6" t="n"/>
    </row>
    <row r="78">
      <c r="A78" s="2" t="inlineStr">
        <is>
          <t>כפר כנא</t>
        </is>
      </c>
      <c r="B78" s="3" t="n"/>
      <c r="C78" s="3" t="n">
        <v>24262</v>
      </c>
      <c r="D78" s="3" t="n">
        <v>25375</v>
      </c>
      <c r="E78" s="3" t="n">
        <v>25375</v>
      </c>
      <c r="F78" s="3" t="n">
        <v>6358</v>
      </c>
      <c r="G78" s="4" t="n">
        <v>3.8</v>
      </c>
      <c r="H78" s="4" t="n"/>
      <c r="I78" s="3" t="n"/>
      <c r="J78" s="4" t="n"/>
      <c r="K78" s="3" t="n"/>
      <c r="L78" s="3" t="n"/>
      <c r="M78" s="5" t="n"/>
      <c r="N78" s="3" t="n"/>
      <c r="O78" s="3" t="n"/>
      <c r="P78" s="3" t="n"/>
      <c r="Q78" s="5" t="n"/>
      <c r="R78" s="4" t="n"/>
      <c r="S78" s="4" t="n"/>
      <c r="T78" s="4" t="n"/>
      <c r="U78" s="5" t="n"/>
      <c r="V78" s="3" t="n"/>
      <c r="W78" s="3" t="n"/>
      <c r="X78" s="2" t="n"/>
    </row>
    <row r="79">
      <c r="A79" s="6" t="inlineStr">
        <is>
          <t>קלנסווה</t>
        </is>
      </c>
      <c r="B79" s="7" t="n"/>
      <c r="C79" s="7" t="n">
        <v>23951</v>
      </c>
      <c r="D79" s="7" t="n">
        <v>25167</v>
      </c>
      <c r="E79" s="7" t="n">
        <v>25167</v>
      </c>
      <c r="F79" s="7" t="n">
        <v>6077</v>
      </c>
      <c r="G79" s="8" t="n">
        <v>3.9</v>
      </c>
      <c r="H79" s="8" t="n"/>
      <c r="I79" s="7" t="n"/>
      <c r="J79" s="8" t="n"/>
      <c r="K79" s="7" t="n"/>
      <c r="L79" s="7" t="n"/>
      <c r="M79" s="9" t="n"/>
      <c r="N79" s="7" t="n"/>
      <c r="O79" s="7" t="n"/>
      <c r="P79" s="7" t="n"/>
      <c r="Q79" s="9" t="n"/>
      <c r="R79" s="8" t="n"/>
      <c r="S79" s="8" t="n"/>
      <c r="T79" s="8" t="n"/>
      <c r="U79" s="9" t="n"/>
      <c r="V79" s="7" t="n"/>
      <c r="W79" s="7" t="n"/>
      <c r="X79" s="6" t="n"/>
    </row>
    <row r="80">
      <c r="A80" s="2" t="inlineStr">
        <is>
          <t>גן יבנה</t>
        </is>
      </c>
      <c r="B80" s="3" t="n"/>
      <c r="C80" s="3" t="n">
        <v>23688</v>
      </c>
      <c r="D80" s="3" t="n">
        <v>25144</v>
      </c>
      <c r="E80" s="3" t="n">
        <v>25144</v>
      </c>
      <c r="F80" s="3" t="n">
        <v>6913</v>
      </c>
      <c r="G80" s="4" t="n">
        <v>3.4</v>
      </c>
      <c r="H80" s="4" t="n"/>
      <c r="I80" s="3" t="n"/>
      <c r="J80" s="4" t="n"/>
      <c r="K80" s="3" t="n"/>
      <c r="L80" s="3" t="n"/>
      <c r="M80" s="5" t="n"/>
      <c r="N80" s="3" t="n"/>
      <c r="O80" s="3" t="n"/>
      <c r="P80" s="3" t="n"/>
      <c r="Q80" s="5" t="n"/>
      <c r="R80" s="4" t="n"/>
      <c r="S80" s="4" t="n"/>
      <c r="T80" s="4" t="n"/>
      <c r="U80" s="5" t="n"/>
      <c r="V80" s="3" t="n"/>
      <c r="W80" s="3" t="n"/>
      <c r="X80" s="2" t="n"/>
    </row>
    <row r="81">
      <c r="A81" s="6" t="inlineStr">
        <is>
          <t>יקנעם עילית</t>
        </is>
      </c>
      <c r="B81" s="7" t="n"/>
      <c r="C81" s="7" t="n">
        <v>23729</v>
      </c>
      <c r="D81" s="7" t="n">
        <v>24928</v>
      </c>
      <c r="E81" s="7" t="n">
        <v>24928</v>
      </c>
      <c r="F81" s="7" t="n">
        <v>7956</v>
      </c>
      <c r="G81" s="8" t="n">
        <v>3</v>
      </c>
      <c r="H81" s="8" t="n"/>
      <c r="I81" s="7" t="n"/>
      <c r="J81" s="8" t="n"/>
      <c r="K81" s="7" t="n"/>
      <c r="L81" s="7" t="n"/>
      <c r="M81" s="9" t="n"/>
      <c r="N81" s="7" t="n"/>
      <c r="O81" s="7" t="n"/>
      <c r="P81" s="7" t="n"/>
      <c r="Q81" s="9" t="n"/>
      <c r="R81" s="8" t="n"/>
      <c r="S81" s="8" t="n"/>
      <c r="T81" s="8" t="n"/>
      <c r="U81" s="9" t="n"/>
      <c r="V81" s="7" t="n"/>
      <c r="W81" s="7" t="n"/>
      <c r="X81" s="6" t="n"/>
    </row>
    <row r="82">
      <c r="A82" s="2" t="inlineStr">
        <is>
          <t>תל שבע</t>
        </is>
      </c>
      <c r="B82" s="3" t="n"/>
      <c r="C82" s="3" t="n">
        <v>22760</v>
      </c>
      <c r="D82" s="3" t="n">
        <v>24781</v>
      </c>
      <c r="E82" s="3" t="n">
        <v>24781</v>
      </c>
      <c r="F82" s="3" t="n">
        <v>4748</v>
      </c>
      <c r="G82" s="4" t="n">
        <v>4.8</v>
      </c>
      <c r="H82" s="4" t="n"/>
      <c r="I82" s="3" t="n"/>
      <c r="J82" s="4" t="n"/>
      <c r="K82" s="3" t="n"/>
      <c r="L82" s="3" t="n"/>
      <c r="M82" s="5" t="n"/>
      <c r="N82" s="3" t="n"/>
      <c r="O82" s="3" t="n"/>
      <c r="P82" s="3" t="n"/>
      <c r="Q82" s="5" t="n"/>
      <c r="R82" s="4" t="n"/>
      <c r="S82" s="4" t="n"/>
      <c r="T82" s="4" t="n"/>
      <c r="U82" s="5" t="n"/>
      <c r="V82" s="3" t="n"/>
      <c r="W82" s="3" t="n"/>
      <c r="X82" s="2" t="n"/>
    </row>
    <row r="83">
      <c r="A83" s="6" t="inlineStr">
        <is>
          <t>קריית שמונה</t>
        </is>
      </c>
      <c r="B83" s="7" t="n"/>
      <c r="C83" s="7" t="n">
        <v>23083</v>
      </c>
      <c r="D83" s="7" t="n">
        <v>24437</v>
      </c>
      <c r="E83" s="7" t="n">
        <v>24437</v>
      </c>
      <c r="F83" s="7" t="n">
        <v>9175</v>
      </c>
      <c r="G83" s="8" t="n">
        <v>2.5</v>
      </c>
      <c r="H83" s="8" t="n"/>
      <c r="I83" s="7" t="n"/>
      <c r="J83" s="8" t="n"/>
      <c r="K83" s="7" t="n"/>
      <c r="L83" s="7" t="n"/>
      <c r="M83" s="9" t="n"/>
      <c r="N83" s="7" t="n"/>
      <c r="O83" s="7" t="n"/>
      <c r="P83" s="7" t="n"/>
      <c r="Q83" s="9" t="n"/>
      <c r="R83" s="8" t="n"/>
      <c r="S83" s="8" t="n"/>
      <c r="T83" s="8" t="n"/>
      <c r="U83" s="9" t="n"/>
      <c r="V83" s="7" t="n"/>
      <c r="W83" s="7" t="n"/>
      <c r="X83" s="6" t="n"/>
    </row>
    <row r="84">
      <c r="A84" s="2" t="inlineStr">
        <is>
          <t>זכרון יעקב</t>
        </is>
      </c>
      <c r="B84" s="3" t="n"/>
      <c r="C84" s="3" t="n">
        <v>23513</v>
      </c>
      <c r="D84" s="3" t="n">
        <v>24200</v>
      </c>
      <c r="E84" s="3" t="n">
        <v>24200</v>
      </c>
      <c r="F84" s="3" t="n">
        <v>7702</v>
      </c>
      <c r="G84" s="4" t="n">
        <v>3</v>
      </c>
      <c r="H84" s="4" t="n"/>
      <c r="I84" s="3" t="n"/>
      <c r="J84" s="4" t="n"/>
      <c r="K84" s="3" t="n"/>
      <c r="L84" s="3" t="n"/>
      <c r="M84" s="5" t="n"/>
      <c r="N84" s="3" t="n"/>
      <c r="O84" s="3" t="n"/>
      <c r="P84" s="3" t="n"/>
      <c r="Q84" s="5" t="n"/>
      <c r="R84" s="4" t="n"/>
      <c r="S84" s="4" t="n"/>
      <c r="T84" s="4" t="n"/>
      <c r="U84" s="5" t="n"/>
      <c r="V84" s="3" t="n"/>
      <c r="W84" s="3" t="n"/>
      <c r="X84" s="2" t="n"/>
    </row>
    <row r="85">
      <c r="A85" s="6" t="inlineStr">
        <is>
          <t>שוהם</t>
        </is>
      </c>
      <c r="B85" s="7" t="n"/>
      <c r="C85" s="7" t="n">
        <v>21171</v>
      </c>
      <c r="D85" s="7" t="n">
        <v>23592</v>
      </c>
      <c r="E85" s="7" t="n">
        <v>23592</v>
      </c>
      <c r="F85" s="7" t="n">
        <v>6368</v>
      </c>
      <c r="G85" s="8" t="n">
        <v>3.3</v>
      </c>
      <c r="H85" s="8" t="n"/>
      <c r="I85" s="7" t="n"/>
      <c r="J85" s="8" t="n"/>
      <c r="K85" s="7" t="n"/>
      <c r="L85" s="7" t="n"/>
      <c r="M85" s="9" t="n"/>
      <c r="N85" s="7" t="n"/>
      <c r="O85" s="7" t="n"/>
      <c r="P85" s="7" t="n"/>
      <c r="Q85" s="9" t="n"/>
      <c r="R85" s="8" t="n"/>
      <c r="S85" s="8" t="n"/>
      <c r="T85" s="8" t="n"/>
      <c r="U85" s="9" t="n"/>
      <c r="V85" s="7" t="n"/>
      <c r="W85" s="7" t="n"/>
      <c r="X85" s="6" t="n"/>
    </row>
    <row r="86">
      <c r="A86" s="2" t="inlineStr">
        <is>
          <t>מגאר</t>
        </is>
      </c>
      <c r="B86" s="3" t="n"/>
      <c r="C86" s="3" t="n">
        <v>22564</v>
      </c>
      <c r="D86" s="3" t="n">
        <v>23486</v>
      </c>
      <c r="E86" s="3" t="n">
        <v>23486</v>
      </c>
      <c r="F86" s="3" t="n">
        <v>6389</v>
      </c>
      <c r="G86" s="4" t="n">
        <v>3.5</v>
      </c>
      <c r="H86" s="4" t="n"/>
      <c r="I86" s="3" t="n"/>
      <c r="J86" s="4" t="n"/>
      <c r="K86" s="3" t="n"/>
      <c r="L86" s="3" t="n"/>
      <c r="M86" s="5" t="n"/>
      <c r="N86" s="3" t="n"/>
      <c r="O86" s="3" t="n"/>
      <c r="P86" s="3" t="n"/>
      <c r="Q86" s="5" t="n"/>
      <c r="R86" s="4" t="n"/>
      <c r="S86" s="4" t="n"/>
      <c r="T86" s="4" t="n"/>
      <c r="U86" s="5" t="n"/>
      <c r="V86" s="3" t="n"/>
      <c r="W86" s="3" t="n"/>
      <c r="X86" s="2" t="n"/>
    </row>
    <row r="87">
      <c r="A87" s="6" t="inlineStr">
        <is>
          <t>מעלות-תרשיחא</t>
        </is>
      </c>
      <c r="B87" s="7" t="n"/>
      <c r="C87" s="7" t="n">
        <v>22720</v>
      </c>
      <c r="D87" s="7" t="n">
        <v>23042</v>
      </c>
      <c r="E87" s="7" t="n">
        <v>23042</v>
      </c>
      <c r="F87" s="7" t="n">
        <v>7729</v>
      </c>
      <c r="G87" s="8" t="n">
        <v>2.9</v>
      </c>
      <c r="H87" s="8" t="n"/>
      <c r="I87" s="7" t="n"/>
      <c r="J87" s="8" t="n"/>
      <c r="K87" s="7" t="n"/>
      <c r="L87" s="7" t="n"/>
      <c r="M87" s="9" t="n"/>
      <c r="N87" s="7" t="n"/>
      <c r="O87" s="7" t="n"/>
      <c r="P87" s="7" t="n"/>
      <c r="Q87" s="9" t="n"/>
      <c r="R87" s="8" t="n"/>
      <c r="S87" s="8" t="n"/>
      <c r="T87" s="8" t="n"/>
      <c r="U87" s="9" t="n"/>
      <c r="V87" s="7" t="n"/>
      <c r="W87" s="7" t="n"/>
      <c r="X87" s="6" t="n"/>
    </row>
    <row r="88">
      <c r="A88" s="2" t="inlineStr">
        <is>
          <t>חורה</t>
        </is>
      </c>
      <c r="B88" s="3" t="n"/>
      <c r="C88" s="3" t="n">
        <v>20671</v>
      </c>
      <c r="D88" s="3" t="n">
        <v>23035</v>
      </c>
      <c r="E88" s="3" t="n">
        <v>23035</v>
      </c>
      <c r="F88" s="3" t="n">
        <v>4744</v>
      </c>
      <c r="G88" s="4" t="n">
        <v>4.4</v>
      </c>
      <c r="H88" s="4" t="n"/>
      <c r="I88" s="3" t="n"/>
      <c r="J88" s="4" t="n"/>
      <c r="K88" s="3" t="n"/>
      <c r="L88" s="3" t="n"/>
      <c r="M88" s="5" t="n"/>
      <c r="N88" s="3" t="n"/>
      <c r="O88" s="3" t="n"/>
      <c r="P88" s="3" t="n"/>
      <c r="Q88" s="5" t="n"/>
      <c r="R88" s="4" t="n"/>
      <c r="S88" s="4" t="n"/>
      <c r="T88" s="4" t="n"/>
      <c r="U88" s="5" t="n"/>
      <c r="V88" s="3" t="n"/>
      <c r="W88" s="3" t="n"/>
      <c r="X88" s="2" t="n"/>
    </row>
    <row r="89">
      <c r="A89" s="6" t="inlineStr">
        <is>
          <t>נשר</t>
        </is>
      </c>
      <c r="B89" s="7" t="n"/>
      <c r="C89" s="7" t="n">
        <v>22911</v>
      </c>
      <c r="D89" s="7" t="n">
        <v>22897</v>
      </c>
      <c r="E89" s="7" t="n">
        <v>22897</v>
      </c>
      <c r="F89" s="7" t="n">
        <v>9755</v>
      </c>
      <c r="G89" s="8" t="n">
        <v>2.3</v>
      </c>
      <c r="H89" s="8" t="n"/>
      <c r="I89" s="7" t="n"/>
      <c r="J89" s="8" t="n"/>
      <c r="K89" s="7" t="n"/>
      <c r="L89" s="7" t="n"/>
      <c r="M89" s="9" t="n"/>
      <c r="N89" s="7" t="n"/>
      <c r="O89" s="7" t="n"/>
      <c r="P89" s="7" t="n"/>
      <c r="Q89" s="9" t="n"/>
      <c r="R89" s="8" t="n"/>
      <c r="S89" s="8" t="n"/>
      <c r="T89" s="8" t="n"/>
      <c r="U89" s="9" t="n"/>
      <c r="V89" s="7" t="n"/>
      <c r="W89" s="7" t="n"/>
      <c r="X89" s="6" t="n"/>
    </row>
    <row r="90">
      <c r="A90" s="2" t="inlineStr">
        <is>
          <t>קדימה-צורן</t>
        </is>
      </c>
      <c r="B90" s="3" t="n"/>
      <c r="C90" s="3" t="n">
        <v>22153</v>
      </c>
      <c r="D90" s="3" t="n">
        <v>22655</v>
      </c>
      <c r="E90" s="3" t="n">
        <v>22655</v>
      </c>
      <c r="F90" s="3" t="n">
        <v>6719</v>
      </c>
      <c r="G90" s="4" t="n">
        <v>3.2</v>
      </c>
      <c r="H90" s="4" t="n"/>
      <c r="I90" s="3" t="n"/>
      <c r="J90" s="4" t="n"/>
      <c r="K90" s="3" t="n"/>
      <c r="L90" s="3" t="n"/>
      <c r="M90" s="5" t="n"/>
      <c r="N90" s="3" t="n"/>
      <c r="O90" s="3" t="n"/>
      <c r="P90" s="3" t="n"/>
      <c r="Q90" s="5" t="n"/>
      <c r="R90" s="4" t="n"/>
      <c r="S90" s="4" t="n"/>
      <c r="T90" s="4" t="n"/>
      <c r="U90" s="5" t="n"/>
      <c r="V90" s="3" t="n"/>
      <c r="W90" s="3" t="n"/>
      <c r="X90" s="2" t="n"/>
    </row>
    <row r="91">
      <c r="A91" s="6" t="inlineStr">
        <is>
          <t>כפר מנדא</t>
        </is>
      </c>
      <c r="B91" s="7" t="n"/>
      <c r="C91" s="7" t="n">
        <v>21041</v>
      </c>
      <c r="D91" s="7" t="n">
        <v>22267</v>
      </c>
      <c r="E91" s="7" t="n">
        <v>22267</v>
      </c>
      <c r="F91" s="7" t="n">
        <v>5574</v>
      </c>
      <c r="G91" s="8" t="n">
        <v>3.7</v>
      </c>
      <c r="H91" s="8" t="n"/>
      <c r="I91" s="7" t="n"/>
      <c r="J91" s="8" t="n"/>
      <c r="K91" s="7" t="n"/>
      <c r="L91" s="7" t="n"/>
      <c r="M91" s="9" t="n"/>
      <c r="N91" s="7" t="n"/>
      <c r="O91" s="7" t="n"/>
      <c r="P91" s="7" t="n"/>
      <c r="Q91" s="9" t="n"/>
      <c r="R91" s="8" t="n"/>
      <c r="S91" s="8" t="n"/>
      <c r="T91" s="8" t="n"/>
      <c r="U91" s="9" t="n"/>
      <c r="V91" s="7" t="n"/>
      <c r="W91" s="7" t="n"/>
      <c r="X91" s="6" t="n"/>
    </row>
    <row r="92">
      <c r="A92" s="2" t="inlineStr">
        <is>
          <t>גבעת זאב</t>
        </is>
      </c>
      <c r="B92" s="3" t="n"/>
      <c r="C92" s="3" t="n">
        <v>22117</v>
      </c>
      <c r="D92" s="3" t="n"/>
      <c r="E92" s="3" t="n"/>
      <c r="F92" s="3" t="n">
        <v>6021</v>
      </c>
      <c r="G92" s="4" t="n">
        <v>3.9</v>
      </c>
      <c r="H92" s="4" t="n"/>
      <c r="I92" s="3" t="n"/>
      <c r="J92" s="4" t="n"/>
      <c r="K92" s="3" t="n"/>
      <c r="L92" s="3" t="n"/>
      <c r="M92" s="5" t="n"/>
      <c r="N92" s="3" t="n"/>
      <c r="O92" s="3" t="n"/>
      <c r="P92" s="3" t="n"/>
      <c r="Q92" s="5" t="n"/>
      <c r="R92" s="4" t="n"/>
      <c r="S92" s="4" t="n"/>
      <c r="T92" s="4" t="n"/>
      <c r="U92" s="5" t="n"/>
      <c r="V92" s="3" t="n"/>
      <c r="W92" s="3" t="n"/>
      <c r="X92" s="2" t="n"/>
    </row>
    <row r="93">
      <c r="A93" s="6" t="inlineStr">
        <is>
          <t>כסיפה</t>
        </is>
      </c>
      <c r="B93" s="7" t="n"/>
      <c r="C93" s="7" t="n">
        <v>18867</v>
      </c>
      <c r="D93" s="7" t="n">
        <v>21849</v>
      </c>
      <c r="E93" s="7" t="n">
        <v>21849</v>
      </c>
      <c r="F93" s="7" t="n">
        <v>3880</v>
      </c>
      <c r="G93" s="8" t="n">
        <v>4.8</v>
      </c>
      <c r="H93" s="8" t="n"/>
      <c r="I93" s="7" t="n"/>
      <c r="J93" s="8" t="n"/>
      <c r="K93" s="7" t="n"/>
      <c r="L93" s="7" t="n"/>
      <c r="M93" s="9" t="n"/>
      <c r="N93" s="7" t="n"/>
      <c r="O93" s="7" t="n"/>
      <c r="P93" s="7" t="n"/>
      <c r="Q93" s="9" t="n"/>
      <c r="R93" s="8" t="n"/>
      <c r="S93" s="8" t="n"/>
      <c r="T93" s="8" t="n"/>
      <c r="U93" s="9" t="n"/>
      <c r="V93" s="7" t="n"/>
      <c r="W93" s="7" t="n"/>
      <c r="X93" s="6" t="n"/>
    </row>
    <row r="94">
      <c r="A94" s="2" t="inlineStr">
        <is>
          <t>אריאל</t>
        </is>
      </c>
      <c r="B94" s="3" t="n"/>
      <c r="C94" s="3" t="n">
        <v>21428</v>
      </c>
      <c r="D94" s="3" t="n"/>
      <c r="E94" s="3" t="n"/>
      <c r="F94" s="3" t="n">
        <v>7437</v>
      </c>
      <c r="G94" s="4" t="n">
        <v>2.7</v>
      </c>
      <c r="H94" s="4" t="n"/>
      <c r="I94" s="3" t="n"/>
      <c r="J94" s="4" t="n"/>
      <c r="K94" s="3" t="n"/>
      <c r="L94" s="3" t="n"/>
      <c r="M94" s="5" t="n"/>
      <c r="N94" s="3" t="n"/>
      <c r="O94" s="3" t="n"/>
      <c r="P94" s="3" t="n"/>
      <c r="Q94" s="5" t="n"/>
      <c r="R94" s="4" t="n"/>
      <c r="S94" s="4" t="n"/>
      <c r="T94" s="4" t="n"/>
      <c r="U94" s="5" t="n"/>
      <c r="V94" s="3" t="n"/>
      <c r="W94" s="3" t="n"/>
      <c r="X94" s="2" t="n"/>
    </row>
    <row r="95">
      <c r="A95" s="6" t="inlineStr">
        <is>
          <t>ערערה-בנגב</t>
        </is>
      </c>
      <c r="B95" s="7" t="n"/>
      <c r="C95" s="7" t="n">
        <v>19543</v>
      </c>
      <c r="D95" s="7" t="n">
        <v>21259</v>
      </c>
      <c r="E95" s="7" t="n">
        <v>21259</v>
      </c>
      <c r="F95" s="7" t="n">
        <v>3991</v>
      </c>
      <c r="G95" s="8" t="n">
        <v>4.9</v>
      </c>
      <c r="H95" s="8" t="n"/>
      <c r="I95" s="7" t="n"/>
      <c r="J95" s="8" t="n"/>
      <c r="K95" s="7" t="n"/>
      <c r="L95" s="7" t="n"/>
      <c r="M95" s="9" t="n"/>
      <c r="N95" s="7" t="n"/>
      <c r="O95" s="7" t="n"/>
      <c r="P95" s="7" t="n"/>
      <c r="Q95" s="9" t="n"/>
      <c r="R95" s="8" t="n"/>
      <c r="S95" s="8" t="n"/>
      <c r="T95" s="8" t="n"/>
      <c r="U95" s="9" t="n"/>
      <c r="V95" s="7" t="n"/>
      <c r="W95" s="7" t="n"/>
      <c r="X95" s="6" t="n"/>
    </row>
    <row r="96">
      <c r="A96" s="2" t="inlineStr">
        <is>
          <t>כפר קרע</t>
        </is>
      </c>
      <c r="B96" s="3" t="n"/>
      <c r="C96" s="3" t="n">
        <v>19890</v>
      </c>
      <c r="D96" s="3" t="n">
        <v>21067</v>
      </c>
      <c r="E96" s="3" t="n">
        <v>21067</v>
      </c>
      <c r="F96" s="3" t="n">
        <v>5480</v>
      </c>
      <c r="G96" s="4" t="n">
        <v>3.6</v>
      </c>
      <c r="H96" s="4" t="n"/>
      <c r="I96" s="3" t="n"/>
      <c r="J96" s="4" t="n"/>
      <c r="K96" s="3" t="n"/>
      <c r="L96" s="3" t="n"/>
      <c r="M96" s="5" t="n"/>
      <c r="N96" s="3" t="n"/>
      <c r="O96" s="3" t="n"/>
      <c r="P96" s="3" t="n"/>
      <c r="Q96" s="5" t="n"/>
      <c r="R96" s="4" t="n"/>
      <c r="S96" s="4" t="n"/>
      <c r="T96" s="4" t="n"/>
      <c r="U96" s="5" t="n"/>
      <c r="V96" s="3" t="n"/>
      <c r="W96" s="3" t="n"/>
      <c r="X96" s="2" t="n"/>
    </row>
    <row r="97">
      <c r="A97" s="6" t="inlineStr">
        <is>
          <t>ערערה</t>
        </is>
      </c>
      <c r="B97" s="7" t="n"/>
      <c r="C97" s="7" t="n">
        <v>19919</v>
      </c>
      <c r="D97" s="7" t="n">
        <v>20733</v>
      </c>
      <c r="E97" s="7" t="n">
        <v>20733</v>
      </c>
      <c r="F97" s="7" t="n">
        <v>5285</v>
      </c>
      <c r="G97" s="8" t="n">
        <v>3.8</v>
      </c>
      <c r="H97" s="8" t="n"/>
      <c r="I97" s="7" t="n"/>
      <c r="J97" s="8" t="n"/>
      <c r="K97" s="7" t="n"/>
      <c r="L97" s="7" t="n"/>
      <c r="M97" s="9" t="n"/>
      <c r="N97" s="7" t="n"/>
      <c r="O97" s="7" t="n"/>
      <c r="P97" s="7" t="n"/>
      <c r="Q97" s="9" t="n"/>
      <c r="R97" s="8" t="n"/>
      <c r="S97" s="8" t="n"/>
      <c r="T97" s="8" t="n"/>
      <c r="U97" s="9" t="n"/>
      <c r="V97" s="7" t="n"/>
      <c r="W97" s="7" t="n"/>
      <c r="X97" s="6" t="n"/>
    </row>
    <row r="98">
      <c r="A98" s="2" t="inlineStr">
        <is>
          <t>ריינה</t>
        </is>
      </c>
      <c r="B98" s="3" t="n"/>
      <c r="C98" s="3" t="n">
        <v>17046</v>
      </c>
      <c r="D98" s="3" t="n">
        <v>20654</v>
      </c>
      <c r="E98" s="3" t="n">
        <v>20654</v>
      </c>
      <c r="F98" s="3" t="n">
        <v>4780</v>
      </c>
      <c r="G98" s="4" t="n">
        <v>3.6</v>
      </c>
      <c r="H98" s="4" t="n"/>
      <c r="I98" s="3" t="n"/>
      <c r="J98" s="4" t="n"/>
      <c r="K98" s="3" t="n"/>
      <c r="L98" s="3" t="n"/>
      <c r="M98" s="5" t="n"/>
      <c r="N98" s="3" t="n"/>
      <c r="O98" s="3" t="n"/>
      <c r="P98" s="3" t="n"/>
      <c r="Q98" s="5" t="n"/>
      <c r="R98" s="4" t="n"/>
      <c r="S98" s="4" t="n"/>
      <c r="T98" s="4" t="n"/>
      <c r="U98" s="5" t="n"/>
      <c r="V98" s="3" t="n"/>
      <c r="W98" s="3" t="n"/>
      <c r="X98" s="2" t="n"/>
    </row>
    <row r="99">
      <c r="A99" s="6" t="inlineStr">
        <is>
          <t>בית שאן</t>
        </is>
      </c>
      <c r="B99" s="7" t="n"/>
      <c r="C99" s="7" t="n">
        <v>19825</v>
      </c>
      <c r="D99" s="7" t="n">
        <v>20253</v>
      </c>
      <c r="E99" s="7" t="n">
        <v>20253</v>
      </c>
      <c r="F99" s="7" t="n">
        <v>6628</v>
      </c>
      <c r="G99" s="8" t="n">
        <v>2.9</v>
      </c>
      <c r="H99" s="8" t="n"/>
      <c r="I99" s="7" t="n"/>
      <c r="J99" s="8" t="n"/>
      <c r="K99" s="7" t="n"/>
      <c r="L99" s="7" t="n"/>
      <c r="M99" s="9" t="n"/>
      <c r="N99" s="7" t="n"/>
      <c r="O99" s="7" t="n"/>
      <c r="P99" s="7" t="n"/>
      <c r="Q99" s="9" t="n"/>
      <c r="R99" s="8" t="n"/>
      <c r="S99" s="8" t="n"/>
      <c r="T99" s="8" t="n"/>
      <c r="U99" s="9" t="n"/>
      <c r="V99" s="7" t="n"/>
      <c r="W99" s="7" t="n"/>
      <c r="X99" s="6" t="n"/>
    </row>
    <row r="100">
      <c r="A100" s="2" t="inlineStr">
        <is>
          <t>ג'דיידה-מכר</t>
        </is>
      </c>
      <c r="B100" s="3" t="n"/>
      <c r="C100" s="3" t="n">
        <v>19842</v>
      </c>
      <c r="D100" s="3" t="n">
        <v>20232</v>
      </c>
      <c r="E100" s="3" t="n">
        <v>20232</v>
      </c>
      <c r="F100" s="3" t="n">
        <v>5976</v>
      </c>
      <c r="G100" s="4" t="n">
        <v>3.3</v>
      </c>
      <c r="H100" s="4" t="n"/>
      <c r="I100" s="3" t="n"/>
      <c r="J100" s="4" t="n"/>
      <c r="K100" s="3" t="n"/>
      <c r="L100" s="3" t="n"/>
      <c r="M100" s="5" t="n"/>
      <c r="N100" s="3" t="n"/>
      <c r="O100" s="3" t="n"/>
      <c r="P100" s="3" t="n"/>
      <c r="Q100" s="5" t="n"/>
      <c r="R100" s="4" t="n"/>
      <c r="S100" s="4" t="n"/>
      <c r="T100" s="4" t="n"/>
      <c r="U100" s="5" t="n"/>
      <c r="V100" s="3" t="n"/>
      <c r="W100" s="3" t="n"/>
      <c r="X100" s="2" t="n"/>
    </row>
    <row r="101">
      <c r="A101" s="6" t="inlineStr">
        <is>
          <t>לקיה</t>
        </is>
      </c>
      <c r="B101" s="7" t="n"/>
      <c r="C101" s="7" t="n">
        <v>17074</v>
      </c>
      <c r="D101" s="7" t="n">
        <v>19361</v>
      </c>
      <c r="E101" s="7" t="n">
        <v>19361</v>
      </c>
      <c r="F101" s="7" t="n">
        <v>3940</v>
      </c>
      <c r="G101" s="8" t="n">
        <v>4.3</v>
      </c>
      <c r="H101" s="8" t="n"/>
      <c r="I101" s="7" t="n"/>
      <c r="J101" s="8" t="n"/>
      <c r="K101" s="7" t="n"/>
      <c r="L101" s="7" t="n"/>
      <c r="M101" s="9" t="n"/>
      <c r="N101" s="7" t="n"/>
      <c r="O101" s="7" t="n"/>
      <c r="P101" s="7" t="n"/>
      <c r="Q101" s="9" t="n"/>
      <c r="R101" s="8" t="n"/>
      <c r="S101" s="8" t="n"/>
      <c r="T101" s="8" t="n"/>
      <c r="U101" s="9" t="n"/>
      <c r="V101" s="7" t="n"/>
      <c r="W101" s="7" t="n"/>
      <c r="X101" s="6" t="n"/>
    </row>
    <row r="102">
      <c r="A102" s="2" t="inlineStr">
        <is>
          <t>קריית טבעון</t>
        </is>
      </c>
      <c r="B102" s="3" t="n"/>
      <c r="C102" s="3" t="n">
        <v>17944</v>
      </c>
      <c r="D102" s="3" t="n">
        <v>19157</v>
      </c>
      <c r="E102" s="3" t="n">
        <v>19157</v>
      </c>
      <c r="F102" s="3" t="n">
        <v>6483</v>
      </c>
      <c r="G102" s="4" t="n">
        <v>2.6</v>
      </c>
      <c r="H102" s="4" t="n"/>
      <c r="I102" s="3" t="n"/>
      <c r="J102" s="4" t="n"/>
      <c r="K102" s="3" t="n"/>
      <c r="L102" s="3" t="n"/>
      <c r="M102" s="5" t="n"/>
      <c r="N102" s="3" t="n"/>
      <c r="O102" s="3" t="n"/>
      <c r="P102" s="3" t="n"/>
      <c r="Q102" s="5" t="n"/>
      <c r="R102" s="4" t="n"/>
      <c r="S102" s="4" t="n"/>
      <c r="T102" s="4" t="n"/>
      <c r="U102" s="5" t="n"/>
      <c r="V102" s="3" t="n"/>
      <c r="W102" s="3" t="n"/>
      <c r="X102" s="2" t="n"/>
    </row>
    <row r="103">
      <c r="A103" s="6" t="inlineStr">
        <is>
          <t>יפיע</t>
        </is>
      </c>
      <c r="B103" s="7" t="n"/>
      <c r="C103" s="7" t="n">
        <v>18113</v>
      </c>
      <c r="D103" s="7" t="n">
        <v>18837</v>
      </c>
      <c r="E103" s="7" t="n">
        <v>18837</v>
      </c>
      <c r="F103" s="7" t="n">
        <v>5238</v>
      </c>
      <c r="G103" s="8" t="n">
        <v>3.5</v>
      </c>
      <c r="H103" s="8" t="n"/>
      <c r="I103" s="7" t="n"/>
      <c r="J103" s="8" t="n"/>
      <c r="K103" s="7" t="n"/>
      <c r="L103" s="7" t="n"/>
      <c r="M103" s="9" t="n"/>
      <c r="N103" s="7" t="n"/>
      <c r="O103" s="7" t="n"/>
      <c r="P103" s="7" t="n"/>
      <c r="Q103" s="9" t="n"/>
      <c r="R103" s="8" t="n"/>
      <c r="S103" s="8" t="n"/>
      <c r="T103" s="8" t="n"/>
      <c r="U103" s="9" t="n"/>
      <c r="V103" s="7" t="n"/>
      <c r="W103" s="7" t="n"/>
      <c r="X103" s="6" t="n"/>
    </row>
    <row r="104">
      <c r="A104" s="2" t="inlineStr">
        <is>
          <t>דאלית אל-כרמל</t>
        </is>
      </c>
      <c r="B104" s="3" t="n"/>
      <c r="C104" s="3" t="n">
        <v>17672</v>
      </c>
      <c r="D104" s="3" t="n">
        <v>18363</v>
      </c>
      <c r="E104" s="3" t="n">
        <v>18363</v>
      </c>
      <c r="F104" s="3" t="n">
        <v>5761</v>
      </c>
      <c r="G104" s="4" t="n">
        <v>3.1</v>
      </c>
      <c r="H104" s="4" t="n"/>
      <c r="I104" s="3" t="n"/>
      <c r="J104" s="4" t="n"/>
      <c r="K104" s="3" t="n"/>
      <c r="L104" s="3" t="n"/>
      <c r="M104" s="5" t="n"/>
      <c r="N104" s="3" t="n"/>
      <c r="O104" s="3" t="n"/>
      <c r="P104" s="3" t="n"/>
      <c r="Q104" s="5" t="n"/>
      <c r="R104" s="4" t="n"/>
      <c r="S104" s="4" t="n"/>
      <c r="T104" s="4" t="n"/>
      <c r="U104" s="5" t="n"/>
      <c r="V104" s="3" t="n"/>
      <c r="W104" s="3" t="n"/>
      <c r="X104" s="2" t="n"/>
    </row>
    <row r="105">
      <c r="A105" s="6" t="inlineStr">
        <is>
          <t>ירכא</t>
        </is>
      </c>
      <c r="B105" s="7" t="n"/>
      <c r="C105" s="7" t="n">
        <v>16194</v>
      </c>
      <c r="D105" s="7" t="n">
        <v>16823</v>
      </c>
      <c r="E105" s="7" t="n">
        <v>16823</v>
      </c>
      <c r="F105" s="7" t="n">
        <v>4393</v>
      </c>
      <c r="G105" s="8" t="n">
        <v>3.6</v>
      </c>
      <c r="H105" s="8" t="n"/>
      <c r="I105" s="7" t="n"/>
      <c r="J105" s="8" t="n"/>
      <c r="K105" s="7" t="n"/>
      <c r="L105" s="7" t="n"/>
      <c r="M105" s="9" t="n"/>
      <c r="N105" s="7" t="n"/>
      <c r="O105" s="7" t="n"/>
      <c r="P105" s="7" t="n"/>
      <c r="Q105" s="9" t="n"/>
      <c r="R105" s="8" t="n"/>
      <c r="S105" s="8" t="n"/>
      <c r="T105" s="8" t="n"/>
      <c r="U105" s="9" t="n"/>
      <c r="V105" s="7" t="n"/>
      <c r="W105" s="7" t="n"/>
      <c r="X105" s="6" t="n"/>
    </row>
    <row r="106">
      <c r="A106" s="2" t="inlineStr">
        <is>
          <t>שגב-שלום</t>
        </is>
      </c>
      <c r="B106" s="3" t="n"/>
      <c r="C106" s="3" t="n">
        <v>14654</v>
      </c>
      <c r="D106" s="3" t="n">
        <v>16736</v>
      </c>
      <c r="E106" s="3" t="n">
        <v>16736</v>
      </c>
      <c r="F106" s="3" t="n">
        <v>3196</v>
      </c>
      <c r="G106" s="4" t="n">
        <v>4.6</v>
      </c>
      <c r="H106" s="4" t="n"/>
      <c r="I106" s="3" t="n"/>
      <c r="J106" s="4" t="n"/>
      <c r="K106" s="3" t="n"/>
      <c r="L106" s="3" t="n"/>
      <c r="M106" s="5" t="n"/>
      <c r="N106" s="3" t="n"/>
      <c r="O106" s="3" t="n"/>
      <c r="P106" s="3" t="n"/>
      <c r="Q106" s="5" t="n"/>
      <c r="R106" s="4" t="n"/>
      <c r="S106" s="4" t="n"/>
      <c r="T106" s="4" t="n"/>
      <c r="U106" s="5" t="n"/>
      <c r="V106" s="3" t="n"/>
      <c r="W106" s="3" t="n"/>
      <c r="X106" s="2" t="n"/>
    </row>
    <row r="107">
      <c r="A107" s="6" t="inlineStr">
        <is>
          <t>מזכרת בתיה</t>
        </is>
      </c>
      <c r="B107" s="7" t="n"/>
      <c r="C107" s="7" t="n">
        <v>15858</v>
      </c>
      <c r="D107" s="7" t="n">
        <v>16334</v>
      </c>
      <c r="E107" s="7" t="n">
        <v>16334</v>
      </c>
      <c r="F107" s="7" t="n">
        <v>4492</v>
      </c>
      <c r="G107" s="8" t="n">
        <v>3.5</v>
      </c>
      <c r="H107" s="8" t="n"/>
      <c r="I107" s="7" t="n"/>
      <c r="J107" s="8" t="n"/>
      <c r="K107" s="7" t="n"/>
      <c r="L107" s="7" t="n"/>
      <c r="M107" s="9" t="n"/>
      <c r="N107" s="7" t="n"/>
      <c r="O107" s="7" t="n"/>
      <c r="P107" s="7" t="n"/>
      <c r="Q107" s="9" t="n"/>
      <c r="R107" s="8" t="n"/>
      <c r="S107" s="8" t="n"/>
      <c r="T107" s="8" t="n"/>
      <c r="U107" s="9" t="n"/>
      <c r="V107" s="7" t="n"/>
      <c r="W107" s="7" t="n"/>
      <c r="X107" s="6" t="n"/>
    </row>
    <row r="108">
      <c r="A108" s="2" t="inlineStr">
        <is>
          <t>ג'סר א-זרקא</t>
        </is>
      </c>
      <c r="B108" s="3" t="n"/>
      <c r="C108" s="3" t="n">
        <v>15418</v>
      </c>
      <c r="D108" s="3" t="n">
        <v>15823</v>
      </c>
      <c r="E108" s="3" t="n">
        <v>15823</v>
      </c>
      <c r="F108" s="3" t="n">
        <v>3648</v>
      </c>
      <c r="G108" s="4" t="n">
        <v>4.2</v>
      </c>
      <c r="H108" s="4" t="n"/>
      <c r="I108" s="3" t="n"/>
      <c r="J108" s="4" t="n"/>
      <c r="K108" s="3" t="n"/>
      <c r="L108" s="3" t="n"/>
      <c r="M108" s="5" t="n"/>
      <c r="N108" s="3" t="n"/>
      <c r="O108" s="3" t="n"/>
      <c r="P108" s="3" t="n"/>
      <c r="Q108" s="5" t="n"/>
      <c r="R108" s="4" t="n"/>
      <c r="S108" s="4" t="n"/>
      <c r="T108" s="4" t="n"/>
      <c r="U108" s="5" t="n"/>
      <c r="V108" s="3" t="n"/>
      <c r="W108" s="3" t="n"/>
      <c r="X108" s="2" t="n"/>
    </row>
    <row r="109">
      <c r="A109" s="6" t="inlineStr">
        <is>
          <t>בנימינה-גבעת עדה</t>
        </is>
      </c>
      <c r="B109" s="7" t="n"/>
      <c r="C109" s="7" t="n">
        <v>15268</v>
      </c>
      <c r="D109" s="7" t="n">
        <v>15566</v>
      </c>
      <c r="E109" s="7" t="n">
        <v>15566</v>
      </c>
      <c r="F109" s="7" t="n">
        <v>4590</v>
      </c>
      <c r="G109" s="8" t="n">
        <v>3.2</v>
      </c>
      <c r="H109" s="8" t="n"/>
      <c r="I109" s="7" t="n"/>
      <c r="J109" s="8" t="n"/>
      <c r="K109" s="7" t="n"/>
      <c r="L109" s="7" t="n"/>
      <c r="M109" s="9" t="n"/>
      <c r="N109" s="7" t="n"/>
      <c r="O109" s="7" t="n"/>
      <c r="P109" s="7" t="n"/>
      <c r="Q109" s="9" t="n"/>
      <c r="R109" s="8" t="n"/>
      <c r="S109" s="8" t="n"/>
      <c r="T109" s="8" t="n"/>
      <c r="U109" s="9" t="n"/>
      <c r="V109" s="7" t="n"/>
      <c r="W109" s="7" t="n"/>
      <c r="X109" s="6" t="n"/>
    </row>
    <row r="110">
      <c r="A110" s="2" t="inlineStr">
        <is>
          <t>מעלה עירון</t>
        </is>
      </c>
      <c r="B110" s="3" t="n"/>
      <c r="C110" s="3" t="n">
        <v>14865</v>
      </c>
      <c r="D110" s="3" t="n">
        <v>15486</v>
      </c>
      <c r="E110" s="3" t="n">
        <v>15486</v>
      </c>
      <c r="F110" s="3" t="n">
        <v>3918</v>
      </c>
      <c r="G110" s="4" t="n">
        <v>3.8</v>
      </c>
      <c r="H110" s="4" t="n"/>
      <c r="I110" s="3" t="n"/>
      <c r="J110" s="4" t="n"/>
      <c r="K110" s="3" t="n"/>
      <c r="L110" s="3" t="n"/>
      <c r="M110" s="5" t="n"/>
      <c r="N110" s="3" t="n"/>
      <c r="O110" s="3" t="n"/>
      <c r="P110" s="3" t="n"/>
      <c r="Q110" s="5" t="n"/>
      <c r="R110" s="4" t="n"/>
      <c r="S110" s="4" t="n"/>
      <c r="T110" s="4" t="n"/>
      <c r="U110" s="5" t="n"/>
      <c r="V110" s="3" t="n"/>
      <c r="W110" s="3" t="n"/>
      <c r="X110" s="2" t="n"/>
    </row>
    <row r="111">
      <c r="A111" s="6" t="inlineStr">
        <is>
          <t>מג'ד אל-כרום</t>
        </is>
      </c>
      <c r="B111" s="7" t="n"/>
      <c r="C111" s="7" t="n">
        <v>14852</v>
      </c>
      <c r="D111" s="7" t="n">
        <v>15429</v>
      </c>
      <c r="E111" s="7" t="n">
        <v>15429</v>
      </c>
      <c r="F111" s="7" t="n">
        <v>3939</v>
      </c>
      <c r="G111" s="8" t="n">
        <v>3.8</v>
      </c>
      <c r="H111" s="8" t="n"/>
      <c r="I111" s="7" t="n"/>
      <c r="J111" s="8" t="n"/>
      <c r="K111" s="7" t="n"/>
      <c r="L111" s="7" t="n"/>
      <c r="M111" s="9" t="n"/>
      <c r="N111" s="7" t="n"/>
      <c r="O111" s="7" t="n"/>
      <c r="P111" s="7" t="n"/>
      <c r="Q111" s="9" t="n"/>
      <c r="R111" s="8" t="n"/>
      <c r="S111" s="8" t="n"/>
      <c r="T111" s="8" t="n"/>
      <c r="U111" s="9" t="n"/>
      <c r="V111" s="7" t="n"/>
      <c r="W111" s="7" t="n"/>
      <c r="X111" s="6" t="n"/>
    </row>
    <row r="112">
      <c r="A112" s="2" t="inlineStr">
        <is>
          <t>אבן יהודה</t>
        </is>
      </c>
      <c r="B112" s="3" t="n"/>
      <c r="C112" s="3" t="n">
        <v>14989</v>
      </c>
      <c r="D112" s="3" t="n">
        <v>15370</v>
      </c>
      <c r="E112" s="3" t="n">
        <v>15370</v>
      </c>
      <c r="F112" s="3" t="n">
        <v>4930</v>
      </c>
      <c r="G112" s="4" t="n">
        <v>3</v>
      </c>
      <c r="H112" s="4" t="n"/>
      <c r="I112" s="3" t="n"/>
      <c r="J112" s="4" t="n"/>
      <c r="K112" s="3" t="n"/>
      <c r="L112" s="3" t="n"/>
      <c r="M112" s="5" t="n"/>
      <c r="N112" s="3" t="n"/>
      <c r="O112" s="3" t="n"/>
      <c r="P112" s="3" t="n"/>
      <c r="Q112" s="5" t="n"/>
      <c r="R112" s="4" t="n"/>
      <c r="S112" s="4" t="n"/>
      <c r="T112" s="4" t="n"/>
      <c r="U112" s="5" t="n"/>
      <c r="V112" s="3" t="n"/>
      <c r="W112" s="3" t="n"/>
      <c r="X112" s="2" t="n"/>
    </row>
    <row r="113">
      <c r="A113" s="6" t="inlineStr">
        <is>
          <t>אכסאל</t>
        </is>
      </c>
      <c r="B113" s="7" t="n"/>
      <c r="C113" s="7" t="n">
        <v>14646</v>
      </c>
      <c r="D113" s="7" t="n">
        <v>15134</v>
      </c>
      <c r="E113" s="7" t="n">
        <v>15134</v>
      </c>
      <c r="F113" s="7" t="n">
        <v>4064</v>
      </c>
      <c r="G113" s="8" t="n">
        <v>3.6</v>
      </c>
      <c r="H113" s="8" t="n"/>
      <c r="I113" s="7" t="n"/>
      <c r="J113" s="8" t="n"/>
      <c r="K113" s="7" t="n"/>
      <c r="L113" s="7" t="n"/>
      <c r="M113" s="9" t="n"/>
      <c r="N113" s="7" t="n"/>
      <c r="O113" s="7" t="n"/>
      <c r="P113" s="7" t="n"/>
      <c r="Q113" s="9" t="n"/>
      <c r="R113" s="8" t="n"/>
      <c r="S113" s="8" t="n"/>
      <c r="T113" s="8" t="n"/>
      <c r="U113" s="9" t="n"/>
      <c r="V113" s="7" t="n"/>
      <c r="W113" s="7" t="n"/>
      <c r="X113" s="6" t="n"/>
    </row>
    <row r="114">
      <c r="A114" s="2" t="inlineStr">
        <is>
          <t>רכסים</t>
        </is>
      </c>
      <c r="B114" s="3" t="n"/>
      <c r="C114" s="3" t="n">
        <v>13910</v>
      </c>
      <c r="D114" s="3" t="n">
        <v>15087</v>
      </c>
      <c r="E114" s="3" t="n">
        <v>15087</v>
      </c>
      <c r="F114" s="3" t="n">
        <v>3053</v>
      </c>
      <c r="G114" s="4" t="n">
        <v>4.4</v>
      </c>
      <c r="H114" s="4" t="n"/>
      <c r="I114" s="3" t="n"/>
      <c r="J114" s="4" t="n"/>
      <c r="K114" s="3" t="n"/>
      <c r="L114" s="3" t="n"/>
      <c r="M114" s="5" t="n"/>
      <c r="N114" s="3" t="n"/>
      <c r="O114" s="3" t="n"/>
      <c r="P114" s="3" t="n"/>
      <c r="Q114" s="5" t="n"/>
      <c r="R114" s="4" t="n"/>
      <c r="S114" s="4" t="n"/>
      <c r="T114" s="4" t="n"/>
      <c r="U114" s="5" t="n"/>
      <c r="V114" s="3" t="n"/>
      <c r="W114" s="3" t="n"/>
      <c r="X114" s="2" t="n"/>
    </row>
    <row r="115">
      <c r="A115" s="6" t="inlineStr">
        <is>
          <t>טורעאן</t>
        </is>
      </c>
      <c r="B115" s="7" t="n"/>
      <c r="C115" s="7" t="n">
        <v>14397</v>
      </c>
      <c r="D115" s="7" t="n">
        <v>14931</v>
      </c>
      <c r="E115" s="7" t="n">
        <v>14931</v>
      </c>
      <c r="F115" s="7" t="n">
        <v>3911</v>
      </c>
      <c r="G115" s="8" t="n">
        <v>3.7</v>
      </c>
      <c r="H115" s="8" t="n"/>
      <c r="I115" s="7" t="n"/>
      <c r="J115" s="8" t="n"/>
      <c r="K115" s="7" t="n"/>
      <c r="L115" s="7" t="n"/>
      <c r="M115" s="9" t="n"/>
      <c r="N115" s="7" t="n"/>
      <c r="O115" s="7" t="n"/>
      <c r="P115" s="7" t="n"/>
      <c r="Q115" s="9" t="n"/>
      <c r="R115" s="8" t="n"/>
      <c r="S115" s="8" t="n"/>
      <c r="T115" s="8" t="n"/>
      <c r="U115" s="9" t="n"/>
      <c r="V115" s="7" t="n"/>
      <c r="W115" s="7" t="n"/>
      <c r="X115" s="6" t="n"/>
    </row>
    <row r="116">
      <c r="A116" s="2" t="inlineStr">
        <is>
          <t>תל מונד</t>
        </is>
      </c>
      <c r="B116" s="3" t="n"/>
      <c r="C116" s="3" t="n">
        <v>14115</v>
      </c>
      <c r="D116" s="3" t="n">
        <v>14771</v>
      </c>
      <c r="E116" s="3" t="n">
        <v>14771</v>
      </c>
      <c r="F116" s="3" t="n">
        <v>4197</v>
      </c>
      <c r="G116" s="4" t="n">
        <v>3.3</v>
      </c>
      <c r="H116" s="4" t="n"/>
      <c r="I116" s="3" t="n"/>
      <c r="J116" s="4" t="n"/>
      <c r="K116" s="3" t="n"/>
      <c r="L116" s="3" t="n"/>
      <c r="M116" s="5" t="n"/>
      <c r="N116" s="3" t="n"/>
      <c r="O116" s="3" t="n"/>
      <c r="P116" s="3" t="n"/>
      <c r="Q116" s="5" t="n"/>
      <c r="R116" s="4" t="n"/>
      <c r="S116" s="4" t="n"/>
      <c r="T116" s="4" t="n"/>
      <c r="U116" s="5" t="n"/>
      <c r="V116" s="3" t="n"/>
      <c r="W116" s="3" t="n"/>
      <c r="X116" s="2" t="n"/>
    </row>
    <row r="117">
      <c r="A117" s="6" t="inlineStr">
        <is>
          <t>אבו סנאן</t>
        </is>
      </c>
      <c r="B117" s="7" t="n"/>
      <c r="C117" s="7" t="n">
        <v>13895</v>
      </c>
      <c r="D117" s="7" t="n">
        <v>14543</v>
      </c>
      <c r="E117" s="7" t="n">
        <v>14543</v>
      </c>
      <c r="F117" s="7" t="n">
        <v>3925</v>
      </c>
      <c r="G117" s="8" t="n">
        <v>3.5</v>
      </c>
      <c r="H117" s="8" t="n"/>
      <c r="I117" s="7" t="n"/>
      <c r="J117" s="8" t="n"/>
      <c r="K117" s="7" t="n"/>
      <c r="L117" s="7" t="n"/>
      <c r="M117" s="9" t="n"/>
      <c r="N117" s="7" t="n"/>
      <c r="O117" s="7" t="n"/>
      <c r="P117" s="7" t="n"/>
      <c r="Q117" s="9" t="n"/>
      <c r="R117" s="8" t="n"/>
      <c r="S117" s="8" t="n"/>
      <c r="T117" s="8" t="n"/>
      <c r="U117" s="9" t="n"/>
      <c r="V117" s="7" t="n"/>
      <c r="W117" s="7" t="n"/>
      <c r="X117" s="6" t="n"/>
    </row>
    <row r="118">
      <c r="A118" s="2" t="inlineStr">
        <is>
          <t>עין מאהל</t>
        </is>
      </c>
      <c r="B118" s="3" t="n"/>
      <c r="C118" s="3" t="n">
        <v>13485</v>
      </c>
      <c r="D118" s="3" t="n">
        <v>14029</v>
      </c>
      <c r="E118" s="3" t="n">
        <v>14029</v>
      </c>
      <c r="F118" s="3" t="n">
        <v>3444</v>
      </c>
      <c r="G118" s="4" t="n">
        <v>3.9</v>
      </c>
      <c r="H118" s="4" t="n"/>
      <c r="I118" s="3" t="n"/>
      <c r="J118" s="4" t="n"/>
      <c r="K118" s="3" t="n"/>
      <c r="L118" s="3" t="n"/>
      <c r="M118" s="5" t="n"/>
      <c r="N118" s="3" t="n"/>
      <c r="O118" s="3" t="n"/>
      <c r="P118" s="3" t="n"/>
      <c r="Q118" s="5" t="n"/>
      <c r="R118" s="4" t="n"/>
      <c r="S118" s="4" t="n"/>
      <c r="T118" s="4" t="n"/>
      <c r="U118" s="5" t="n"/>
      <c r="V118" s="3" t="n"/>
      <c r="W118" s="3" t="n"/>
      <c r="X118" s="2" t="n"/>
    </row>
    <row r="119">
      <c r="A119" s="6" t="inlineStr">
        <is>
          <t>נחף</t>
        </is>
      </c>
      <c r="B119" s="7" t="n"/>
      <c r="C119" s="7" t="n">
        <v>13446</v>
      </c>
      <c r="D119" s="7" t="n">
        <v>13996</v>
      </c>
      <c r="E119" s="7" t="n">
        <v>13996</v>
      </c>
      <c r="F119" s="7" t="n">
        <v>3383</v>
      </c>
      <c r="G119" s="8" t="n">
        <v>4</v>
      </c>
      <c r="H119" s="8" t="n"/>
      <c r="I119" s="7" t="n"/>
      <c r="J119" s="8" t="n"/>
      <c r="K119" s="7" t="n"/>
      <c r="L119" s="7" t="n"/>
      <c r="M119" s="9" t="n"/>
      <c r="N119" s="7" t="n"/>
      <c r="O119" s="7" t="n"/>
      <c r="P119" s="7" t="n"/>
      <c r="Q119" s="9" t="n"/>
      <c r="R119" s="8" t="n"/>
      <c r="S119" s="8" t="n"/>
      <c r="T119" s="8" t="n"/>
      <c r="U119" s="9" t="n"/>
      <c r="V119" s="7" t="n"/>
      <c r="W119" s="7" t="n"/>
      <c r="X119" s="6" t="n"/>
    </row>
    <row r="120">
      <c r="A120" s="2" t="inlineStr">
        <is>
          <t>אעבלין</t>
        </is>
      </c>
      <c r="B120" s="3" t="n"/>
      <c r="C120" s="3" t="n">
        <v>13357</v>
      </c>
      <c r="D120" s="3" t="n">
        <v>13634</v>
      </c>
      <c r="E120" s="3" t="n">
        <v>13634</v>
      </c>
      <c r="F120" s="3" t="n">
        <v>3875</v>
      </c>
      <c r="G120" s="4" t="n">
        <v>3.4</v>
      </c>
      <c r="H120" s="4" t="n"/>
      <c r="I120" s="3" t="n"/>
      <c r="J120" s="4" t="n"/>
      <c r="K120" s="3" t="n"/>
      <c r="L120" s="3" t="n"/>
      <c r="M120" s="5" t="n"/>
      <c r="N120" s="3" t="n"/>
      <c r="O120" s="3" t="n"/>
      <c r="P120" s="3" t="n"/>
      <c r="Q120" s="5" t="n"/>
      <c r="R120" s="4" t="n"/>
      <c r="S120" s="4" t="n"/>
      <c r="T120" s="4" t="n"/>
      <c r="U120" s="5" t="n"/>
      <c r="V120" s="3" t="n"/>
      <c r="W120" s="3" t="n"/>
      <c r="X120" s="2" t="n"/>
    </row>
    <row r="121">
      <c r="A121" s="6" t="inlineStr">
        <is>
          <t>פוריידיס</t>
        </is>
      </c>
      <c r="B121" s="7" t="n"/>
      <c r="C121" s="7" t="n">
        <v>13108</v>
      </c>
      <c r="D121" s="7" t="n">
        <v>13548</v>
      </c>
      <c r="E121" s="7" t="n">
        <v>13548</v>
      </c>
      <c r="F121" s="7" t="n">
        <v>3656</v>
      </c>
      <c r="G121" s="8" t="n">
        <v>3.6</v>
      </c>
      <c r="H121" s="8" t="n"/>
      <c r="I121" s="7" t="n"/>
      <c r="J121" s="8" t="n"/>
      <c r="K121" s="7" t="n"/>
      <c r="L121" s="7" t="n"/>
      <c r="M121" s="9" t="n"/>
      <c r="N121" s="7" t="n"/>
      <c r="O121" s="7" t="n"/>
      <c r="P121" s="7" t="n"/>
      <c r="Q121" s="9" t="n"/>
      <c r="R121" s="8" t="n"/>
      <c r="S121" s="8" t="n"/>
      <c r="T121" s="8" t="n"/>
      <c r="U121" s="9" t="n"/>
      <c r="V121" s="7" t="n"/>
      <c r="W121" s="7" t="n"/>
      <c r="X121" s="6" t="n"/>
    </row>
    <row r="122">
      <c r="A122" s="2" t="inlineStr">
        <is>
          <t>עספיא</t>
        </is>
      </c>
      <c r="B122" s="3" t="n"/>
      <c r="C122" s="3" t="n">
        <v>13060</v>
      </c>
      <c r="D122" s="3" t="n">
        <v>13403</v>
      </c>
      <c r="E122" s="3" t="n">
        <v>13403</v>
      </c>
      <c r="F122" s="3" t="n">
        <v>4206</v>
      </c>
      <c r="G122" s="4" t="n">
        <v>3.1</v>
      </c>
      <c r="H122" s="4" t="n"/>
      <c r="I122" s="3" t="n"/>
      <c r="J122" s="4" t="n"/>
      <c r="K122" s="3" t="n"/>
      <c r="L122" s="3" t="n"/>
      <c r="M122" s="5" t="n"/>
      <c r="N122" s="3" t="n"/>
      <c r="O122" s="3" t="n"/>
      <c r="P122" s="3" t="n"/>
      <c r="Q122" s="5" t="n"/>
      <c r="R122" s="4" t="n"/>
      <c r="S122" s="4" t="n"/>
      <c r="T122" s="4" t="n"/>
      <c r="U122" s="5" t="n"/>
      <c r="V122" s="3" t="n"/>
      <c r="W122" s="3" t="n"/>
      <c r="X122" s="2" t="n"/>
    </row>
    <row r="123">
      <c r="A123" s="6" t="inlineStr">
        <is>
          <t>אזור</t>
        </is>
      </c>
      <c r="B123" s="7" t="n"/>
      <c r="C123" s="7" t="n">
        <v>13191</v>
      </c>
      <c r="D123" s="7" t="n">
        <v>13067</v>
      </c>
      <c r="E123" s="7" t="n">
        <v>13067</v>
      </c>
      <c r="F123" s="7" t="n">
        <v>4607</v>
      </c>
      <c r="G123" s="8" t="n">
        <v>2.8</v>
      </c>
      <c r="H123" s="8" t="n"/>
      <c r="I123" s="7" t="n"/>
      <c r="J123" s="8" t="n"/>
      <c r="K123" s="7" t="n"/>
      <c r="L123" s="7" t="n"/>
      <c r="M123" s="9" t="n"/>
      <c r="N123" s="7" t="n"/>
      <c r="O123" s="7" t="n"/>
      <c r="P123" s="7" t="n"/>
      <c r="Q123" s="9" t="n"/>
      <c r="R123" s="8" t="n"/>
      <c r="S123" s="8" t="n"/>
      <c r="T123" s="8" t="n"/>
      <c r="U123" s="9" t="n"/>
      <c r="V123" s="7" t="n"/>
      <c r="W123" s="7" t="n"/>
      <c r="X123" s="6" t="n"/>
    </row>
    <row r="124">
      <c r="A124" s="2" t="inlineStr">
        <is>
          <t>ג'ת</t>
        </is>
      </c>
      <c r="B124" s="3" t="n"/>
      <c r="C124" s="3" t="n">
        <v>12232</v>
      </c>
      <c r="D124" s="3" t="n">
        <v>12835</v>
      </c>
      <c r="E124" s="3" t="n">
        <v>12835</v>
      </c>
      <c r="F124" s="3" t="n">
        <v>3470</v>
      </c>
      <c r="G124" s="4" t="n">
        <v>3.5</v>
      </c>
      <c r="H124" s="4" t="n"/>
      <c r="I124" s="3" t="n"/>
      <c r="J124" s="4" t="n"/>
      <c r="K124" s="3" t="n"/>
      <c r="L124" s="3" t="n"/>
      <c r="M124" s="5" t="n"/>
      <c r="N124" s="3" t="n"/>
      <c r="O124" s="3" t="n"/>
      <c r="P124" s="3" t="n"/>
      <c r="Q124" s="5" t="n"/>
      <c r="R124" s="4" t="n"/>
      <c r="S124" s="4" t="n"/>
      <c r="T124" s="4" t="n"/>
      <c r="U124" s="5" t="n"/>
      <c r="V124" s="3" t="n"/>
      <c r="W124" s="3" t="n"/>
      <c r="X124" s="2" t="n"/>
    </row>
    <row r="125">
      <c r="A125" s="6" t="inlineStr">
        <is>
          <t>דייר אל-אסד</t>
        </is>
      </c>
      <c r="B125" s="7" t="n"/>
      <c r="C125" s="7" t="n">
        <v>12176</v>
      </c>
      <c r="D125" s="7" t="n">
        <v>12620</v>
      </c>
      <c r="E125" s="7" t="n">
        <v>12620</v>
      </c>
      <c r="F125" s="7" t="n">
        <v>3206</v>
      </c>
      <c r="G125" s="8" t="n">
        <v>3.8</v>
      </c>
      <c r="H125" s="8" t="n"/>
      <c r="I125" s="7" t="n"/>
      <c r="J125" s="8" t="n"/>
      <c r="K125" s="7" t="n"/>
      <c r="L125" s="7" t="n"/>
      <c r="M125" s="9" t="n"/>
      <c r="N125" s="7" t="n"/>
      <c r="O125" s="7" t="n"/>
      <c r="P125" s="7" t="n"/>
      <c r="Q125" s="9" t="n"/>
      <c r="R125" s="8" t="n"/>
      <c r="S125" s="8" t="n"/>
      <c r="T125" s="8" t="n"/>
      <c r="U125" s="9" t="n"/>
      <c r="V125" s="7" t="n"/>
      <c r="W125" s="7" t="n"/>
      <c r="X125" s="6" t="n"/>
    </row>
    <row r="126">
      <c r="A126" s="2" t="inlineStr">
        <is>
          <t>כאבול</t>
        </is>
      </c>
      <c r="B126" s="3" t="n"/>
      <c r="C126" s="3" t="n">
        <v>11993</v>
      </c>
      <c r="D126" s="3" t="n">
        <v>12589</v>
      </c>
      <c r="E126" s="3" t="n">
        <v>12589</v>
      </c>
      <c r="F126" s="3" t="n">
        <v>3472</v>
      </c>
      <c r="G126" s="4" t="n">
        <v>3.5</v>
      </c>
      <c r="H126" s="4" t="n"/>
      <c r="I126" s="3" t="n"/>
      <c r="J126" s="4" t="n"/>
      <c r="K126" s="3" t="n"/>
      <c r="L126" s="3" t="n"/>
      <c r="M126" s="5" t="n"/>
      <c r="N126" s="3" t="n"/>
      <c r="O126" s="3" t="n"/>
      <c r="P126" s="3" t="n"/>
      <c r="Q126" s="5" t="n"/>
      <c r="R126" s="4" t="n"/>
      <c r="S126" s="4" t="n"/>
      <c r="T126" s="4" t="n"/>
      <c r="U126" s="5" t="n"/>
      <c r="V126" s="3" t="n"/>
      <c r="W126" s="3" t="n"/>
      <c r="X126" s="2" t="n"/>
    </row>
    <row r="127">
      <c r="A127" s="6" t="inlineStr">
        <is>
          <t>בית ג'ן</t>
        </is>
      </c>
      <c r="B127" s="7" t="n"/>
      <c r="C127" s="7" t="n">
        <v>12038</v>
      </c>
      <c r="D127" s="7" t="n">
        <v>12446</v>
      </c>
      <c r="E127" s="7" t="n">
        <v>12446</v>
      </c>
      <c r="F127" s="7" t="n">
        <v>3608</v>
      </c>
      <c r="G127" s="8" t="n">
        <v>3.3</v>
      </c>
      <c r="H127" s="8" t="n"/>
      <c r="I127" s="7" t="n"/>
      <c r="J127" s="8" t="n"/>
      <c r="K127" s="7" t="n"/>
      <c r="L127" s="7" t="n"/>
      <c r="M127" s="9" t="n"/>
      <c r="N127" s="7" t="n"/>
      <c r="O127" s="7" t="n"/>
      <c r="P127" s="7" t="n"/>
      <c r="Q127" s="9" t="n"/>
      <c r="R127" s="8" t="n"/>
      <c r="S127" s="8" t="n"/>
      <c r="T127" s="8" t="n"/>
      <c r="U127" s="9" t="n"/>
      <c r="V127" s="7" t="n"/>
      <c r="W127" s="7" t="n"/>
      <c r="X127" s="6" t="n"/>
    </row>
    <row r="128">
      <c r="A128" s="2" t="inlineStr">
        <is>
          <t>אפרת</t>
        </is>
      </c>
      <c r="B128" s="3" t="n"/>
      <c r="C128" s="3" t="n">
        <v>12082</v>
      </c>
      <c r="D128" s="3" t="n"/>
      <c r="E128" s="3" t="n"/>
      <c r="F128" s="3" t="n">
        <v>3115</v>
      </c>
      <c r="G128" s="4" t="n">
        <v>3.8</v>
      </c>
      <c r="H128" s="4" t="n"/>
      <c r="I128" s="3" t="n"/>
      <c r="J128" s="4" t="n"/>
      <c r="K128" s="3" t="n"/>
      <c r="L128" s="3" t="n"/>
      <c r="M128" s="5" t="n"/>
      <c r="N128" s="3" t="n"/>
      <c r="O128" s="3" t="n"/>
      <c r="P128" s="3" t="n"/>
      <c r="Q128" s="5" t="n"/>
      <c r="R128" s="4" t="n"/>
      <c r="S128" s="4" t="n"/>
      <c r="T128" s="4" t="n"/>
      <c r="U128" s="5" t="n"/>
      <c r="V128" s="3" t="n"/>
      <c r="W128" s="3" t="n"/>
      <c r="X128" s="2" t="n"/>
    </row>
    <row r="129">
      <c r="A129" s="6" t="inlineStr">
        <is>
          <t>בסמ"ה</t>
        </is>
      </c>
      <c r="B129" s="7" t="n"/>
      <c r="C129" s="7" t="n">
        <v>11266</v>
      </c>
      <c r="D129" s="7" t="n">
        <v>12002</v>
      </c>
      <c r="E129" s="7" t="n">
        <v>12002</v>
      </c>
      <c r="F129" s="7" t="n">
        <v>3028</v>
      </c>
      <c r="G129" s="8" t="n">
        <v>3.7</v>
      </c>
      <c r="H129" s="8" t="n"/>
      <c r="I129" s="7" t="n"/>
      <c r="J129" s="8" t="n"/>
      <c r="K129" s="7" t="n"/>
      <c r="L129" s="7" t="n"/>
      <c r="M129" s="9" t="n"/>
      <c r="N129" s="7" t="n"/>
      <c r="O129" s="7" t="n"/>
      <c r="P129" s="7" t="n"/>
      <c r="Q129" s="9" t="n"/>
      <c r="R129" s="8" t="n"/>
      <c r="S129" s="8" t="n"/>
      <c r="T129" s="8" t="n"/>
      <c r="U129" s="9" t="n"/>
      <c r="V129" s="7" t="n"/>
      <c r="W129" s="7" t="n"/>
      <c r="X129" s="6" t="n"/>
    </row>
    <row r="130">
      <c r="A130" s="2" t="inlineStr">
        <is>
          <t>ירוחם</t>
        </is>
      </c>
      <c r="B130" s="3" t="n"/>
      <c r="C130" s="3" t="n">
        <v>11403</v>
      </c>
      <c r="D130" s="3" t="n">
        <v>11989</v>
      </c>
      <c r="E130" s="3" t="n">
        <v>11989</v>
      </c>
      <c r="F130" s="3" t="n">
        <v>3388</v>
      </c>
      <c r="G130" s="4" t="n">
        <v>3.2</v>
      </c>
      <c r="H130" s="4" t="n"/>
      <c r="I130" s="3" t="n"/>
      <c r="J130" s="4" t="n"/>
      <c r="K130" s="3" t="n"/>
      <c r="L130" s="3" t="n"/>
      <c r="M130" s="5" t="n"/>
      <c r="N130" s="3" t="n"/>
      <c r="O130" s="3" t="n"/>
      <c r="P130" s="3" t="n"/>
      <c r="Q130" s="5" t="n"/>
      <c r="R130" s="4" t="n"/>
      <c r="S130" s="4" t="n"/>
      <c r="T130" s="4" t="n"/>
      <c r="U130" s="5" t="n"/>
      <c r="V130" s="3" t="n"/>
      <c r="W130" s="3" t="n"/>
      <c r="X130" s="2" t="n"/>
    </row>
    <row r="131">
      <c r="A131" s="6" t="inlineStr">
        <is>
          <t>עתלית</t>
        </is>
      </c>
      <c r="B131" s="7" t="n"/>
      <c r="C131" s="7" t="n">
        <v>10658</v>
      </c>
      <c r="D131" s="7" t="n">
        <v>11611</v>
      </c>
      <c r="E131" s="7" t="n">
        <v>11611</v>
      </c>
      <c r="F131" s="7" t="n">
        <v>3322</v>
      </c>
      <c r="G131" s="8" t="n">
        <v>3.2</v>
      </c>
      <c r="H131" s="8" t="n"/>
      <c r="I131" s="7" t="n"/>
      <c r="J131" s="8" t="n"/>
      <c r="K131" s="7" t="n"/>
      <c r="L131" s="7" t="n"/>
      <c r="M131" s="9" t="n"/>
      <c r="N131" s="7" t="n"/>
      <c r="O131" s="7" t="n"/>
      <c r="P131" s="7" t="n"/>
      <c r="Q131" s="9" t="n"/>
      <c r="R131" s="8" t="n"/>
      <c r="S131" s="8" t="n"/>
      <c r="T131" s="8" t="n"/>
      <c r="U131" s="9" t="n"/>
      <c r="V131" s="7" t="n"/>
      <c r="W131" s="7" t="n"/>
      <c r="X131" s="6" t="n"/>
    </row>
    <row r="132">
      <c r="A132" s="2" t="inlineStr">
        <is>
          <t>מיתר</t>
        </is>
      </c>
      <c r="B132" s="3" t="n"/>
      <c r="C132" s="3" t="n">
        <v>11207</v>
      </c>
      <c r="D132" s="3" t="n">
        <v>11609</v>
      </c>
      <c r="E132" s="3" t="n">
        <v>11609</v>
      </c>
      <c r="F132" s="3" t="n">
        <v>3164</v>
      </c>
      <c r="G132" s="4" t="n">
        <v>3.5</v>
      </c>
      <c r="H132" s="4" t="n"/>
      <c r="I132" s="3" t="n"/>
      <c r="J132" s="4" t="n"/>
      <c r="K132" s="3" t="n"/>
      <c r="L132" s="3" t="n"/>
      <c r="M132" s="5" t="n"/>
      <c r="N132" s="3" t="n"/>
      <c r="O132" s="3" t="n"/>
      <c r="P132" s="3" t="n"/>
      <c r="Q132" s="5" t="n"/>
      <c r="R132" s="4" t="n"/>
      <c r="S132" s="4" t="n"/>
      <c r="T132" s="4" t="n"/>
      <c r="U132" s="5" t="n"/>
      <c r="V132" s="3" t="n"/>
      <c r="W132" s="3" t="n"/>
      <c r="X132" s="2" t="n"/>
    </row>
    <row r="133">
      <c r="A133" s="6" t="inlineStr">
        <is>
          <t>קריית עקרון</t>
        </is>
      </c>
      <c r="B133" s="7" t="n"/>
      <c r="C133" s="7" t="n">
        <v>11425</v>
      </c>
      <c r="D133" s="7" t="n">
        <v>11283</v>
      </c>
      <c r="E133" s="7" t="n">
        <v>11283</v>
      </c>
      <c r="F133" s="7" t="n">
        <v>3933</v>
      </c>
      <c r="G133" s="8" t="n">
        <v>2.9</v>
      </c>
      <c r="H133" s="8" t="n"/>
      <c r="I133" s="7" t="n"/>
      <c r="J133" s="8" t="n"/>
      <c r="K133" s="7" t="n"/>
      <c r="L133" s="7" t="n"/>
      <c r="M133" s="9" t="n"/>
      <c r="N133" s="7" t="n"/>
      <c r="O133" s="7" t="n"/>
      <c r="P133" s="7" t="n"/>
      <c r="Q133" s="9" t="n"/>
      <c r="R133" s="8" t="n"/>
      <c r="S133" s="8" t="n"/>
      <c r="T133" s="8" t="n"/>
      <c r="U133" s="9" t="n"/>
      <c r="V133" s="7" t="n"/>
      <c r="W133" s="7" t="n"/>
      <c r="X133" s="6" t="n"/>
    </row>
    <row r="134">
      <c r="A134" s="2" t="inlineStr">
        <is>
          <t>מג'דל שמס</t>
        </is>
      </c>
      <c r="B134" s="3" t="n"/>
      <c r="C134" s="3" t="n">
        <v>11103</v>
      </c>
      <c r="D134" s="3" t="n">
        <v>11264</v>
      </c>
      <c r="E134" s="3" t="n">
        <v>11264</v>
      </c>
      <c r="F134" s="3" t="n">
        <v>3482</v>
      </c>
      <c r="G134" s="4" t="n">
        <v>3.2</v>
      </c>
      <c r="H134" s="4" t="n"/>
      <c r="I134" s="3" t="n"/>
      <c r="J134" s="4" t="n"/>
      <c r="K134" s="3" t="n"/>
      <c r="L134" s="3" t="n"/>
      <c r="M134" s="5" t="n"/>
      <c r="N134" s="3" t="n"/>
      <c r="O134" s="3" t="n"/>
      <c r="P134" s="3" t="n"/>
      <c r="Q134" s="5" t="n"/>
      <c r="R134" s="4" t="n"/>
      <c r="S134" s="4" t="n"/>
      <c r="T134" s="4" t="n"/>
      <c r="U134" s="5" t="n"/>
      <c r="V134" s="3" t="n"/>
      <c r="W134" s="3" t="n"/>
      <c r="X134" s="2" t="n"/>
    </row>
    <row r="135">
      <c r="A135" s="6" t="inlineStr">
        <is>
          <t>ביר אל-מכסור</t>
        </is>
      </c>
      <c r="B135" s="7" t="n"/>
      <c r="C135" s="7" t="n">
        <v>10510</v>
      </c>
      <c r="D135" s="7" t="n">
        <v>11068</v>
      </c>
      <c r="E135" s="7" t="n">
        <v>11068</v>
      </c>
      <c r="F135" s="7" t="n">
        <v>2803</v>
      </c>
      <c r="G135" s="8" t="n">
        <v>3.7</v>
      </c>
      <c r="H135" s="8" t="n"/>
      <c r="I135" s="7" t="n"/>
      <c r="J135" s="8" t="n"/>
      <c r="K135" s="7" t="n"/>
      <c r="L135" s="7" t="n"/>
      <c r="M135" s="9" t="n"/>
      <c r="N135" s="7" t="n"/>
      <c r="O135" s="7" t="n"/>
      <c r="P135" s="7" t="n"/>
      <c r="Q135" s="9" t="n"/>
      <c r="R135" s="8" t="n"/>
      <c r="S135" s="8" t="n"/>
      <c r="T135" s="8" t="n"/>
      <c r="U135" s="9" t="n"/>
      <c r="V135" s="7" t="n"/>
      <c r="W135" s="7" t="n"/>
      <c r="X135" s="6" t="n"/>
    </row>
    <row r="136">
      <c r="A136" s="2" t="inlineStr">
        <is>
          <t>חצור הגלילית</t>
        </is>
      </c>
      <c r="B136" s="3" t="n"/>
      <c r="C136" s="3" t="n">
        <v>10638</v>
      </c>
      <c r="D136" s="3" t="n">
        <v>11013</v>
      </c>
      <c r="E136" s="3" t="n">
        <v>11013</v>
      </c>
      <c r="F136" s="3" t="n">
        <v>3453</v>
      </c>
      <c r="G136" s="4" t="n">
        <v>3</v>
      </c>
      <c r="H136" s="4" t="n"/>
      <c r="I136" s="3" t="n"/>
      <c r="J136" s="4" t="n"/>
      <c r="K136" s="3" t="n"/>
      <c r="L136" s="3" t="n"/>
      <c r="M136" s="5" t="n"/>
      <c r="N136" s="3" t="n"/>
      <c r="O136" s="3" t="n"/>
      <c r="P136" s="3" t="n"/>
      <c r="Q136" s="5" t="n"/>
      <c r="R136" s="4" t="n"/>
      <c r="S136" s="4" t="n"/>
      <c r="T136" s="4" t="n"/>
      <c r="U136" s="5" t="n"/>
      <c r="V136" s="3" t="n"/>
      <c r="W136" s="3" t="n"/>
      <c r="X136" s="2" t="n"/>
    </row>
    <row r="137">
      <c r="A137" s="6" t="inlineStr">
        <is>
          <t>ג'לג'וליה</t>
        </is>
      </c>
      <c r="B137" s="7" t="n"/>
      <c r="C137" s="7" t="n">
        <v>10502</v>
      </c>
      <c r="D137" s="7" t="n">
        <v>10992</v>
      </c>
      <c r="E137" s="7" t="n">
        <v>10992</v>
      </c>
      <c r="F137" s="7" t="n">
        <v>2662</v>
      </c>
      <c r="G137" s="8" t="n">
        <v>3.9</v>
      </c>
      <c r="H137" s="8" t="n"/>
      <c r="I137" s="7" t="n"/>
      <c r="J137" s="8" t="n"/>
      <c r="K137" s="7" t="n"/>
      <c r="L137" s="7" t="n"/>
      <c r="M137" s="9" t="n"/>
      <c r="N137" s="7" t="n"/>
      <c r="O137" s="7" t="n"/>
      <c r="P137" s="7" t="n"/>
      <c r="Q137" s="9" t="n"/>
      <c r="R137" s="8" t="n"/>
      <c r="S137" s="8" t="n"/>
      <c r="T137" s="8" t="n"/>
      <c r="U137" s="9" t="n"/>
      <c r="V137" s="7" t="n"/>
      <c r="W137" s="7" t="n"/>
      <c r="X137" s="6" t="n"/>
    </row>
    <row r="138">
      <c r="A138" s="2" t="inlineStr">
        <is>
          <t>דבורייה</t>
        </is>
      </c>
      <c r="B138" s="3" t="n"/>
      <c r="C138" s="3" t="n">
        <v>10480</v>
      </c>
      <c r="D138" s="3" t="n">
        <v>10830</v>
      </c>
      <c r="E138" s="3" t="n">
        <v>10830</v>
      </c>
      <c r="F138" s="3" t="n">
        <v>2970</v>
      </c>
      <c r="G138" s="4" t="n">
        <v>3.5</v>
      </c>
      <c r="H138" s="4" t="n"/>
      <c r="I138" s="3" t="n"/>
      <c r="J138" s="4" t="n"/>
      <c r="K138" s="3" t="n"/>
      <c r="L138" s="3" t="n"/>
      <c r="M138" s="5" t="n"/>
      <c r="N138" s="3" t="n"/>
      <c r="O138" s="3" t="n"/>
      <c r="P138" s="3" t="n"/>
      <c r="Q138" s="5" t="n"/>
      <c r="R138" s="4" t="n"/>
      <c r="S138" s="4" t="n"/>
      <c r="T138" s="4" t="n"/>
      <c r="U138" s="5" t="n"/>
      <c r="V138" s="3" t="n"/>
      <c r="W138" s="3" t="n"/>
      <c r="X138" s="2" t="n"/>
    </row>
    <row r="139">
      <c r="A139" s="6" t="inlineStr">
        <is>
          <t>דייר חנא</t>
        </is>
      </c>
      <c r="B139" s="7" t="n"/>
      <c r="C139" s="7" t="n">
        <v>10283</v>
      </c>
      <c r="D139" s="7" t="n">
        <v>10762</v>
      </c>
      <c r="E139" s="7" t="n">
        <v>10762</v>
      </c>
      <c r="F139" s="7" t="n">
        <v>3041</v>
      </c>
      <c r="G139" s="8" t="n">
        <v>3.4</v>
      </c>
      <c r="H139" s="8" t="n"/>
      <c r="I139" s="7" t="n"/>
      <c r="J139" s="8" t="n"/>
      <c r="K139" s="7" t="n"/>
      <c r="L139" s="7" t="n"/>
      <c r="M139" s="9" t="n"/>
      <c r="N139" s="7" t="n"/>
      <c r="O139" s="7" t="n"/>
      <c r="P139" s="7" t="n"/>
      <c r="Q139" s="9" t="n"/>
      <c r="R139" s="8" t="n"/>
      <c r="S139" s="8" t="n"/>
      <c r="T139" s="8" t="n"/>
      <c r="U139" s="9" t="n"/>
      <c r="V139" s="7" t="n"/>
      <c r="W139" s="7" t="n"/>
      <c r="X139" s="6" t="n"/>
    </row>
    <row r="140">
      <c r="A140" s="2" t="inlineStr">
        <is>
          <t>בועיינה-נוג'ידאת</t>
        </is>
      </c>
      <c r="B140" s="3" t="n"/>
      <c r="C140" s="3" t="n">
        <v>10087</v>
      </c>
      <c r="D140" s="3" t="n">
        <v>10630</v>
      </c>
      <c r="E140" s="3" t="n">
        <v>10630</v>
      </c>
      <c r="F140" s="3" t="n">
        <v>2623</v>
      </c>
      <c r="G140" s="4" t="n">
        <v>3.8</v>
      </c>
      <c r="H140" s="4" t="n"/>
      <c r="I140" s="3" t="n"/>
      <c r="J140" s="4" t="n"/>
      <c r="K140" s="3" t="n"/>
      <c r="L140" s="3" t="n"/>
      <c r="M140" s="5" t="n"/>
      <c r="N140" s="3" t="n"/>
      <c r="O140" s="3" t="n"/>
      <c r="P140" s="3" t="n"/>
      <c r="Q140" s="5" t="n"/>
      <c r="R140" s="4" t="n"/>
      <c r="S140" s="4" t="n"/>
      <c r="T140" s="4" t="n"/>
      <c r="U140" s="5" t="n"/>
      <c r="V140" s="3" t="n"/>
      <c r="W140" s="3" t="n"/>
      <c r="X140" s="2" t="n"/>
    </row>
    <row r="141">
      <c r="A141" s="6" t="inlineStr">
        <is>
          <t>כפר יאסיף</t>
        </is>
      </c>
      <c r="B141" s="7" t="n"/>
      <c r="C141" s="7" t="n">
        <v>10574</v>
      </c>
      <c r="D141" s="7" t="n">
        <v>10527</v>
      </c>
      <c r="E141" s="7" t="n">
        <v>10527</v>
      </c>
      <c r="F141" s="7" t="n">
        <v>3144</v>
      </c>
      <c r="G141" s="8" t="n">
        <v>3.3</v>
      </c>
      <c r="H141" s="8" t="n"/>
      <c r="I141" s="7" t="n"/>
      <c r="J141" s="8" t="n"/>
      <c r="K141" s="7" t="n"/>
      <c r="L141" s="7" t="n"/>
      <c r="M141" s="9" t="n"/>
      <c r="N141" s="7" t="n"/>
      <c r="O141" s="7" t="n"/>
      <c r="P141" s="7" t="n"/>
      <c r="Q141" s="9" t="n"/>
      <c r="R141" s="8" t="n"/>
      <c r="S141" s="8" t="n"/>
      <c r="T141" s="8" t="n"/>
      <c r="U141" s="9" t="n"/>
      <c r="V141" s="7" t="n"/>
      <c r="W141" s="7" t="n"/>
      <c r="X141" s="6" t="n"/>
    </row>
    <row r="142">
      <c r="A142" s="2" t="inlineStr">
        <is>
          <t>צור הדסה</t>
        </is>
      </c>
      <c r="B142" s="3" t="n"/>
      <c r="C142" s="3" t="n">
        <v>10409</v>
      </c>
      <c r="D142" s="3" t="n">
        <v>10458</v>
      </c>
      <c r="E142" s="3" t="n">
        <v>10458</v>
      </c>
      <c r="F142" s="3" t="n">
        <v>2986</v>
      </c>
      <c r="G142" s="4" t="n">
        <v>3.5</v>
      </c>
      <c r="H142" s="4" t="n"/>
      <c r="I142" s="3" t="n"/>
      <c r="J142" s="4" t="n"/>
      <c r="K142" s="3" t="n"/>
      <c r="L142" s="3" t="n"/>
      <c r="M142" s="5" t="n"/>
      <c r="N142" s="3" t="n"/>
      <c r="O142" s="3" t="n"/>
      <c r="P142" s="3" t="n"/>
      <c r="Q142" s="5" t="n"/>
      <c r="R142" s="4" t="n"/>
      <c r="S142" s="4" t="n"/>
      <c r="T142" s="4" t="n"/>
      <c r="U142" s="5" t="n"/>
      <c r="V142" s="3" t="n"/>
      <c r="W142" s="3" t="n"/>
      <c r="X142" s="2" t="n"/>
    </row>
    <row r="143">
      <c r="A143" s="6" t="inlineStr">
        <is>
          <t>קרני שומרון</t>
        </is>
      </c>
      <c r="B143" s="7" t="n"/>
      <c r="C143" s="7" t="n">
        <v>10102</v>
      </c>
      <c r="D143" s="7" t="n"/>
      <c r="E143" s="7" t="n"/>
      <c r="F143" s="7" t="n">
        <v>2943</v>
      </c>
      <c r="G143" s="8" t="n">
        <v>3.4</v>
      </c>
      <c r="H143" s="8" t="n"/>
      <c r="I143" s="7" t="n"/>
      <c r="J143" s="8" t="n"/>
      <c r="K143" s="7" t="n"/>
      <c r="L143" s="7" t="n"/>
      <c r="M143" s="9" t="n"/>
      <c r="N143" s="7" t="n"/>
      <c r="O143" s="7" t="n"/>
      <c r="P143" s="7" t="n"/>
      <c r="Q143" s="9" t="n"/>
      <c r="R143" s="8" t="n"/>
      <c r="S143" s="8" t="n"/>
      <c r="T143" s="8" t="n"/>
      <c r="U143" s="9" t="n"/>
      <c r="V143" s="7" t="n"/>
      <c r="W143" s="7" t="n"/>
      <c r="X143" s="6" t="n"/>
    </row>
    <row r="144">
      <c r="A144" s="2" t="inlineStr">
        <is>
          <t>כוכב יעקב</t>
        </is>
      </c>
      <c r="B144" s="3" t="n"/>
      <c r="C144" s="3" t="n">
        <v>10086</v>
      </c>
      <c r="D144" s="3" t="n"/>
      <c r="E144" s="3" t="n"/>
      <c r="F144" s="3" t="n">
        <v>2257</v>
      </c>
      <c r="G144" s="4" t="n">
        <v>4.4</v>
      </c>
      <c r="H144" s="4" t="n"/>
      <c r="I144" s="3" t="n"/>
      <c r="J144" s="4" t="n"/>
      <c r="K144" s="3" t="n"/>
      <c r="L144" s="3" t="n"/>
      <c r="M144" s="5" t="n"/>
      <c r="N144" s="3" t="n"/>
      <c r="O144" s="3" t="n"/>
      <c r="P144" s="3" t="n"/>
      <c r="Q144" s="5" t="n"/>
      <c r="R144" s="4" t="n"/>
      <c r="S144" s="4" t="n"/>
      <c r="T144" s="4" t="n"/>
      <c r="U144" s="5" t="n"/>
      <c r="V144" s="3" t="n"/>
      <c r="W144" s="3" t="n"/>
      <c r="X144" s="2" t="n"/>
    </row>
    <row r="145">
      <c r="A145" s="6" t="inlineStr">
        <is>
          <t>אורנית</t>
        </is>
      </c>
      <c r="B145" s="7" t="n"/>
      <c r="C145" s="7" t="n">
        <v>9979</v>
      </c>
      <c r="D145" s="7" t="n"/>
      <c r="E145" s="7" t="n"/>
      <c r="F145" s="7" t="n">
        <v>2961</v>
      </c>
      <c r="G145" s="8" t="n">
        <v>3.4</v>
      </c>
      <c r="H145" s="8" t="n"/>
      <c r="I145" s="7" t="n"/>
      <c r="J145" s="8" t="n"/>
      <c r="K145" s="7" t="n"/>
      <c r="L145" s="7" t="n"/>
      <c r="M145" s="9" t="n"/>
      <c r="N145" s="7" t="n"/>
      <c r="O145" s="7" t="n"/>
      <c r="P145" s="7" t="n"/>
      <c r="Q145" s="9" t="n"/>
      <c r="R145" s="8" t="n"/>
      <c r="S145" s="8" t="n"/>
      <c r="T145" s="8" t="n"/>
      <c r="U145" s="9" t="n"/>
      <c r="V145" s="7" t="n"/>
      <c r="W145" s="7" t="n"/>
      <c r="X145" s="6" t="n"/>
    </row>
    <row r="146">
      <c r="A146" s="2" t="inlineStr">
        <is>
          <t>כסרא-סמיע</t>
        </is>
      </c>
      <c r="B146" s="3" t="n"/>
      <c r="C146" s="3" t="n">
        <v>8930</v>
      </c>
      <c r="D146" s="3" t="n">
        <v>9549</v>
      </c>
      <c r="E146" s="3" t="n">
        <v>9549</v>
      </c>
      <c r="F146" s="3" t="n">
        <v>2500</v>
      </c>
      <c r="G146" s="4" t="n">
        <v>3.6</v>
      </c>
      <c r="H146" s="4" t="n"/>
      <c r="I146" s="3" t="n"/>
      <c r="J146" s="4" t="n"/>
      <c r="K146" s="3" t="n"/>
      <c r="L146" s="3" t="n"/>
      <c r="M146" s="5" t="n"/>
      <c r="N146" s="3" t="n"/>
      <c r="O146" s="3" t="n"/>
      <c r="P146" s="3" t="n"/>
      <c r="Q146" s="5" t="n"/>
      <c r="R146" s="4" t="n"/>
      <c r="S146" s="4" t="n"/>
      <c r="T146" s="4" t="n"/>
      <c r="U146" s="5" t="n"/>
      <c r="V146" s="3" t="n"/>
      <c r="W146" s="3" t="n"/>
      <c r="X146" s="2" t="n"/>
    </row>
    <row r="147">
      <c r="A147" s="6" t="inlineStr">
        <is>
          <t>זרזיר</t>
        </is>
      </c>
      <c r="B147" s="7" t="n"/>
      <c r="C147" s="7" t="n">
        <v>8836</v>
      </c>
      <c r="D147" s="7" t="n">
        <v>9149</v>
      </c>
      <c r="E147" s="7" t="n">
        <v>9149</v>
      </c>
      <c r="F147" s="7" t="n">
        <v>2292</v>
      </c>
      <c r="G147" s="8" t="n">
        <v>3.9</v>
      </c>
      <c r="H147" s="8" t="n"/>
      <c r="I147" s="7" t="n"/>
      <c r="J147" s="8" t="n"/>
      <c r="K147" s="7" t="n"/>
      <c r="L147" s="7" t="n"/>
      <c r="M147" s="9" t="n"/>
      <c r="N147" s="7" t="n"/>
      <c r="O147" s="7" t="n"/>
      <c r="P147" s="7" t="n"/>
      <c r="Q147" s="9" t="n"/>
      <c r="R147" s="8" t="n"/>
      <c r="S147" s="8" t="n"/>
      <c r="T147" s="8" t="n"/>
      <c r="U147" s="9" t="n"/>
      <c r="V147" s="7" t="n"/>
      <c r="W147" s="7" t="n"/>
      <c r="X147" s="6" t="n"/>
    </row>
    <row r="148">
      <c r="A148" s="2" t="inlineStr">
        <is>
          <t>עילוט</t>
        </is>
      </c>
      <c r="B148" s="3" t="n"/>
      <c r="C148" s="3" t="n">
        <v>8561</v>
      </c>
      <c r="D148" s="3" t="n">
        <v>9077</v>
      </c>
      <c r="E148" s="3" t="n">
        <v>9077</v>
      </c>
      <c r="F148" s="3" t="n">
        <v>2223</v>
      </c>
      <c r="G148" s="4" t="n">
        <v>3.8</v>
      </c>
      <c r="H148" s="4" t="n"/>
      <c r="I148" s="3" t="n"/>
      <c r="J148" s="4" t="n"/>
      <c r="K148" s="3" t="n"/>
      <c r="L148" s="3" t="n"/>
      <c r="M148" s="5" t="n"/>
      <c r="N148" s="3" t="n"/>
      <c r="O148" s="3" t="n"/>
      <c r="P148" s="3" t="n"/>
      <c r="Q148" s="5" t="n"/>
      <c r="R148" s="4" t="n"/>
      <c r="S148" s="4" t="n"/>
      <c r="T148" s="4" t="n"/>
      <c r="U148" s="5" t="n"/>
      <c r="V148" s="3" t="n"/>
      <c r="W148" s="3" t="n"/>
      <c r="X148" s="2" t="n"/>
    </row>
    <row r="149">
      <c r="A149" s="6" t="inlineStr">
        <is>
          <t>כוכב יאיר</t>
        </is>
      </c>
      <c r="B149" s="7" t="n"/>
      <c r="C149" s="7" t="n">
        <v>9176</v>
      </c>
      <c r="D149" s="7" t="n">
        <v>9007</v>
      </c>
      <c r="E149" s="7" t="n">
        <v>9007</v>
      </c>
      <c r="F149" s="7" t="n">
        <v>2919</v>
      </c>
      <c r="G149" s="8" t="n">
        <v>3.1</v>
      </c>
      <c r="H149" s="8" t="n"/>
      <c r="I149" s="7" t="n"/>
      <c r="J149" s="8" t="n"/>
      <c r="K149" s="7" t="n"/>
      <c r="L149" s="7" t="n"/>
      <c r="M149" s="9" t="n"/>
      <c r="N149" s="7" t="n"/>
      <c r="O149" s="7" t="n"/>
      <c r="P149" s="7" t="n"/>
      <c r="Q149" s="9" t="n"/>
      <c r="R149" s="8" t="n"/>
      <c r="S149" s="8" t="n"/>
      <c r="T149" s="8" t="n"/>
      <c r="U149" s="9" t="n"/>
      <c r="V149" s="7" t="n"/>
      <c r="W149" s="7" t="n"/>
      <c r="X149" s="6" t="n"/>
    </row>
    <row r="150">
      <c r="A150" s="2" t="inlineStr">
        <is>
          <t>קצרין</t>
        </is>
      </c>
      <c r="B150" s="3" t="n">
        <v>7606</v>
      </c>
      <c r="C150" s="3" t="n">
        <v>7633</v>
      </c>
      <c r="D150" s="3" t="n">
        <v>8012</v>
      </c>
      <c r="E150" s="3" t="n">
        <v>9000</v>
      </c>
      <c r="F150" s="3" t="n">
        <v>2716</v>
      </c>
      <c r="G150" s="4" t="n">
        <v>2.8</v>
      </c>
      <c r="H150" s="4" t="n">
        <v>3.21</v>
      </c>
      <c r="I150" s="3" t="n">
        <v>1950</v>
      </c>
      <c r="J150" s="4" t="n">
        <v>1</v>
      </c>
      <c r="K150" s="3" t="n">
        <v>9800</v>
      </c>
      <c r="L150" s="3" t="n">
        <v>13700</v>
      </c>
      <c r="M150" s="5" t="n">
        <v>0.3979591836734694</v>
      </c>
      <c r="N150" s="3" t="n">
        <v>2803.73831775701</v>
      </c>
      <c r="O150" s="3" t="n">
        <v>1950</v>
      </c>
      <c r="P150" s="3" t="n">
        <v>1394</v>
      </c>
      <c r="Q150" s="5" t="n">
        <v>0.1832763607678149</v>
      </c>
      <c r="R150" s="4" t="n">
        <v>434.2679127725857</v>
      </c>
      <c r="S150" s="4" t="n">
        <v>0.6954999999999999</v>
      </c>
      <c r="T150" s="4" t="n">
        <v>4.490315638450502</v>
      </c>
      <c r="U150" s="5" t="n">
        <v>349.0315638450502</v>
      </c>
      <c r="V150" s="3" t="n"/>
      <c r="W150" s="3" t="n"/>
      <c r="X150" s="2" t="n"/>
    </row>
    <row r="151">
      <c r="A151" s="6" t="inlineStr">
        <is>
          <t>אבו גוש</t>
        </is>
      </c>
      <c r="B151" s="7" t="n"/>
      <c r="C151" s="7" t="n">
        <v>8657</v>
      </c>
      <c r="D151" s="7" t="n">
        <v>8847</v>
      </c>
      <c r="E151" s="7" t="n">
        <v>8847</v>
      </c>
      <c r="F151" s="7" t="n">
        <v>2403</v>
      </c>
      <c r="G151" s="8" t="n">
        <v>3.4</v>
      </c>
      <c r="H151" s="8" t="n"/>
      <c r="I151" s="7" t="n"/>
      <c r="J151" s="8" t="n"/>
      <c r="K151" s="7" t="n"/>
      <c r="L151" s="7" t="n"/>
      <c r="M151" s="9" t="n"/>
      <c r="N151" s="7" t="n"/>
      <c r="O151" s="7" t="n"/>
      <c r="P151" s="7" t="n"/>
      <c r="Q151" s="9" t="n"/>
      <c r="R151" s="8" t="n"/>
      <c r="S151" s="8" t="n"/>
      <c r="T151" s="8" t="n"/>
      <c r="U151" s="9" t="n"/>
      <c r="V151" s="7" t="n"/>
      <c r="W151" s="7" t="n"/>
      <c r="X151" s="6" t="n"/>
    </row>
    <row r="152">
      <c r="A152" s="2" t="inlineStr">
        <is>
          <t>משהד</t>
        </is>
      </c>
      <c r="B152" s="3" t="n"/>
      <c r="C152" s="3" t="n">
        <v>8499</v>
      </c>
      <c r="D152" s="3" t="n">
        <v>8822</v>
      </c>
      <c r="E152" s="3" t="n">
        <v>8822</v>
      </c>
      <c r="F152" s="3" t="n">
        <v>1997</v>
      </c>
      <c r="G152" s="4" t="n">
        <v>4.3</v>
      </c>
      <c r="H152" s="4" t="n"/>
      <c r="I152" s="3" t="n"/>
      <c r="J152" s="4" t="n"/>
      <c r="K152" s="3" t="n"/>
      <c r="L152" s="3" t="n"/>
      <c r="M152" s="5" t="n"/>
      <c r="N152" s="3" t="n"/>
      <c r="O152" s="3" t="n"/>
      <c r="P152" s="3" t="n"/>
      <c r="Q152" s="5" t="n"/>
      <c r="R152" s="4" t="n"/>
      <c r="S152" s="4" t="n"/>
      <c r="T152" s="4" t="n"/>
      <c r="U152" s="5" t="n"/>
      <c r="V152" s="3" t="n"/>
      <c r="W152" s="3" t="n"/>
      <c r="X152" s="2" t="n"/>
    </row>
    <row r="153">
      <c r="A153" s="6" t="inlineStr">
        <is>
          <t>בענה</t>
        </is>
      </c>
      <c r="B153" s="7" t="n"/>
      <c r="C153" s="7" t="n">
        <v>8518</v>
      </c>
      <c r="D153" s="7" t="n">
        <v>8713</v>
      </c>
      <c r="E153" s="7" t="n">
        <v>8713</v>
      </c>
      <c r="F153" s="7" t="n">
        <v>2311</v>
      </c>
      <c r="G153" s="8" t="n">
        <v>3.7</v>
      </c>
      <c r="H153" s="8" t="n"/>
      <c r="I153" s="7" t="n"/>
      <c r="J153" s="8" t="n"/>
      <c r="K153" s="7" t="n"/>
      <c r="L153" s="7" t="n"/>
      <c r="M153" s="9" t="n"/>
      <c r="N153" s="7" t="n"/>
      <c r="O153" s="7" t="n"/>
      <c r="P153" s="7" t="n"/>
      <c r="Q153" s="9" t="n"/>
      <c r="R153" s="8" t="n"/>
      <c r="S153" s="8" t="n"/>
      <c r="T153" s="8" t="n"/>
      <c r="U153" s="9" t="n"/>
      <c r="V153" s="7" t="n"/>
      <c r="W153" s="7" t="n"/>
      <c r="X153" s="6" t="n"/>
    </row>
    <row r="154">
      <c r="A154" s="2" t="inlineStr">
        <is>
          <t>ראמה</t>
        </is>
      </c>
      <c r="B154" s="3" t="n"/>
      <c r="C154" s="3" t="n">
        <v>8472</v>
      </c>
      <c r="D154" s="3" t="n">
        <v>8406</v>
      </c>
      <c r="E154" s="3" t="n">
        <v>8406</v>
      </c>
      <c r="F154" s="3" t="n">
        <v>2625</v>
      </c>
      <c r="G154" s="4" t="n">
        <v>3.2</v>
      </c>
      <c r="H154" s="4" t="n"/>
      <c r="I154" s="3" t="n"/>
      <c r="J154" s="4" t="n"/>
      <c r="K154" s="3" t="n"/>
      <c r="L154" s="3" t="n"/>
      <c r="M154" s="5" t="n"/>
      <c r="N154" s="3" t="n"/>
      <c r="O154" s="3" t="n"/>
      <c r="P154" s="3" t="n"/>
      <c r="Q154" s="5" t="n"/>
      <c r="R154" s="4" t="n"/>
      <c r="S154" s="4" t="n"/>
      <c r="T154" s="4" t="n"/>
      <c r="U154" s="5" t="n"/>
      <c r="V154" s="3" t="n"/>
      <c r="W154" s="3" t="n"/>
      <c r="X154" s="2" t="n"/>
    </row>
    <row r="155">
      <c r="A155" s="6" t="inlineStr">
        <is>
          <t>בסמת טבעון</t>
        </is>
      </c>
      <c r="B155" s="7" t="n"/>
      <c r="C155" s="7" t="n">
        <v>8043</v>
      </c>
      <c r="D155" s="7" t="n">
        <v>8268</v>
      </c>
      <c r="E155" s="7" t="n">
        <v>8268</v>
      </c>
      <c r="F155" s="7" t="n">
        <v>2383</v>
      </c>
      <c r="G155" s="8" t="n">
        <v>3.4</v>
      </c>
      <c r="H155" s="8" t="n"/>
      <c r="I155" s="7" t="n"/>
      <c r="J155" s="8" t="n"/>
      <c r="K155" s="7" t="n"/>
      <c r="L155" s="7" t="n"/>
      <c r="M155" s="9" t="n"/>
      <c r="N155" s="7" t="n"/>
      <c r="O155" s="7" t="n"/>
      <c r="P155" s="7" t="n"/>
      <c r="Q155" s="9" t="n"/>
      <c r="R155" s="8" t="n"/>
      <c r="S155" s="8" t="n"/>
      <c r="T155" s="8" t="n"/>
      <c r="U155" s="9" t="n"/>
      <c r="V155" s="7" t="n"/>
      <c r="W155" s="7" t="n"/>
      <c r="X155" s="6" t="n"/>
    </row>
    <row r="156">
      <c r="A156" s="2" t="inlineStr">
        <is>
          <t>שלומי</t>
        </is>
      </c>
      <c r="B156" s="3" t="n"/>
      <c r="C156" s="3" t="n">
        <v>7497</v>
      </c>
      <c r="D156" s="3" t="n">
        <v>8226</v>
      </c>
      <c r="E156" s="3" t="n">
        <v>8226</v>
      </c>
      <c r="F156" s="3" t="n">
        <v>2541</v>
      </c>
      <c r="G156" s="4" t="n">
        <v>2.9</v>
      </c>
      <c r="H156" s="4" t="n"/>
      <c r="I156" s="3" t="n"/>
      <c r="J156" s="4" t="n"/>
      <c r="K156" s="3" t="n"/>
      <c r="L156" s="3" t="n"/>
      <c r="M156" s="5" t="n"/>
      <c r="N156" s="3" t="n"/>
      <c r="O156" s="3" t="n"/>
      <c r="P156" s="3" t="n"/>
      <c r="Q156" s="5" t="n"/>
      <c r="R156" s="4" t="n"/>
      <c r="S156" s="4" t="n"/>
      <c r="T156" s="4" t="n"/>
      <c r="U156" s="5" t="n"/>
      <c r="V156" s="3" t="n"/>
      <c r="W156" s="3" t="n"/>
      <c r="X156" s="2" t="n"/>
    </row>
    <row r="157">
      <c r="A157" s="6" t="inlineStr">
        <is>
          <t>עומר</t>
        </is>
      </c>
      <c r="B157" s="7" t="n"/>
      <c r="C157" s="7" t="n">
        <v>8250</v>
      </c>
      <c r="D157" s="7" t="n">
        <v>8077</v>
      </c>
      <c r="E157" s="7" t="n">
        <v>8077</v>
      </c>
      <c r="F157" s="7" t="n">
        <v>2603</v>
      </c>
      <c r="G157" s="8" t="n">
        <v>3.1</v>
      </c>
      <c r="H157" s="8" t="n"/>
      <c r="I157" s="7" t="n"/>
      <c r="J157" s="8" t="n"/>
      <c r="K157" s="7" t="n"/>
      <c r="L157" s="7" t="n"/>
      <c r="M157" s="9" t="n"/>
      <c r="N157" s="7" t="n"/>
      <c r="O157" s="7" t="n"/>
      <c r="P157" s="7" t="n"/>
      <c r="Q157" s="9" t="n"/>
      <c r="R157" s="8" t="n"/>
      <c r="S157" s="8" t="n"/>
      <c r="T157" s="8" t="n"/>
      <c r="U157" s="9" t="n"/>
      <c r="V157" s="7" t="n"/>
      <c r="W157" s="7" t="n"/>
      <c r="X157" s="6" t="n"/>
    </row>
    <row r="158">
      <c r="A158" s="2" t="inlineStr">
        <is>
          <t>אלפי מנשה</t>
        </is>
      </c>
      <c r="B158" s="3" t="n"/>
      <c r="C158" s="3" t="n">
        <v>8068</v>
      </c>
      <c r="D158" s="3" t="n"/>
      <c r="E158" s="3" t="n"/>
      <c r="F158" s="3" t="n">
        <v>2624</v>
      </c>
      <c r="G158" s="4" t="n">
        <v>3.1</v>
      </c>
      <c r="H158" s="4" t="n"/>
      <c r="I158" s="3" t="n"/>
      <c r="J158" s="4" t="n"/>
      <c r="K158" s="3" t="n"/>
      <c r="L158" s="3" t="n"/>
      <c r="M158" s="5" t="n"/>
      <c r="N158" s="3" t="n"/>
      <c r="O158" s="3" t="n"/>
      <c r="P158" s="3" t="n"/>
      <c r="Q158" s="5" t="n"/>
      <c r="R158" s="4" t="n"/>
      <c r="S158" s="4" t="n"/>
      <c r="T158" s="4" t="n"/>
      <c r="U158" s="5" t="n"/>
      <c r="V158" s="3" t="n"/>
      <c r="W158" s="3" t="n"/>
      <c r="X158" s="2" t="n"/>
    </row>
    <row r="159">
      <c r="A159" s="6" t="inlineStr">
        <is>
          <t>להבים</t>
        </is>
      </c>
      <c r="B159" s="7" t="n"/>
      <c r="C159" s="7" t="n">
        <v>7686</v>
      </c>
      <c r="D159" s="7" t="n">
        <v>8028</v>
      </c>
      <c r="E159" s="7" t="n">
        <v>8028</v>
      </c>
      <c r="F159" s="7" t="n">
        <v>2529</v>
      </c>
      <c r="G159" s="8" t="n">
        <v>3.1</v>
      </c>
      <c r="H159" s="8" t="n"/>
      <c r="I159" s="7" t="n"/>
      <c r="J159" s="8" t="n"/>
      <c r="K159" s="7" t="n"/>
      <c r="L159" s="7" t="n"/>
      <c r="M159" s="9" t="n"/>
      <c r="N159" s="7" t="n"/>
      <c r="O159" s="7" t="n"/>
      <c r="P159" s="7" t="n"/>
      <c r="Q159" s="9" t="n"/>
      <c r="R159" s="8" t="n"/>
      <c r="S159" s="8" t="n"/>
      <c r="T159" s="8" t="n"/>
      <c r="U159" s="9" t="n"/>
      <c r="V159" s="7" t="n"/>
      <c r="W159" s="7" t="n"/>
      <c r="X159" s="6" t="n"/>
    </row>
    <row r="160">
      <c r="A160" s="2" t="inlineStr">
        <is>
          <t>פרדסייה</t>
        </is>
      </c>
      <c r="B160" s="3" t="n"/>
      <c r="C160" s="3" t="n">
        <v>7743</v>
      </c>
      <c r="D160" s="3" t="n">
        <v>7972</v>
      </c>
      <c r="E160" s="3" t="n">
        <v>7972</v>
      </c>
      <c r="F160" s="3" t="n">
        <v>2534</v>
      </c>
      <c r="G160" s="4" t="n">
        <v>3.1</v>
      </c>
      <c r="H160" s="4" t="n"/>
      <c r="I160" s="3" t="n"/>
      <c r="J160" s="4" t="n"/>
      <c r="K160" s="3" t="n"/>
      <c r="L160" s="3" t="n"/>
      <c r="M160" s="5" t="n"/>
      <c r="N160" s="3" t="n"/>
      <c r="O160" s="3" t="n"/>
      <c r="P160" s="3" t="n"/>
      <c r="Q160" s="5" t="n"/>
      <c r="R160" s="4" t="n"/>
      <c r="S160" s="4" t="n"/>
      <c r="T160" s="4" t="n"/>
      <c r="U160" s="5" t="n"/>
      <c r="V160" s="3" t="n"/>
      <c r="W160" s="3" t="n"/>
      <c r="X160" s="2" t="n"/>
    </row>
    <row r="161">
      <c r="A161" s="6" t="inlineStr">
        <is>
          <t>זמר</t>
        </is>
      </c>
      <c r="B161" s="7" t="n"/>
      <c r="C161" s="7" t="n">
        <v>7482</v>
      </c>
      <c r="D161" s="7" t="n">
        <v>7953</v>
      </c>
      <c r="E161" s="7" t="n">
        <v>7953</v>
      </c>
      <c r="F161" s="7" t="n">
        <v>2016</v>
      </c>
      <c r="G161" s="8" t="n">
        <v>3.7</v>
      </c>
      <c r="H161" s="8" t="n"/>
      <c r="I161" s="7" t="n"/>
      <c r="J161" s="8" t="n"/>
      <c r="K161" s="7" t="n"/>
      <c r="L161" s="7" t="n"/>
      <c r="M161" s="9" t="n"/>
      <c r="N161" s="7" t="n"/>
      <c r="O161" s="7" t="n"/>
      <c r="P161" s="7" t="n"/>
      <c r="Q161" s="9" t="n"/>
      <c r="R161" s="8" t="n"/>
      <c r="S161" s="8" t="n"/>
      <c r="T161" s="8" t="n"/>
      <c r="U161" s="9" t="n"/>
      <c r="V161" s="7" t="n"/>
      <c r="W161" s="7" t="n"/>
      <c r="X161" s="6" t="n"/>
    </row>
    <row r="162">
      <c r="A162" s="2" t="inlineStr">
        <is>
          <t>רמת ישי</t>
        </is>
      </c>
      <c r="B162" s="3" t="n"/>
      <c r="C162" s="3" t="n">
        <v>7880</v>
      </c>
      <c r="D162" s="3" t="n">
        <v>7953</v>
      </c>
      <c r="E162" s="3" t="n">
        <v>7953</v>
      </c>
      <c r="F162" s="3" t="n">
        <v>2662</v>
      </c>
      <c r="G162" s="4" t="n">
        <v>2.9</v>
      </c>
      <c r="H162" s="4" t="n"/>
      <c r="I162" s="3" t="n"/>
      <c r="J162" s="4" t="n"/>
      <c r="K162" s="3" t="n"/>
      <c r="L162" s="3" t="n"/>
      <c r="M162" s="5" t="n"/>
      <c r="N162" s="3" t="n"/>
      <c r="O162" s="3" t="n"/>
      <c r="P162" s="3" t="n"/>
      <c r="Q162" s="5" t="n"/>
      <c r="R162" s="4" t="n"/>
      <c r="S162" s="4" t="n"/>
      <c r="T162" s="4" t="n"/>
      <c r="U162" s="5" t="n"/>
      <c r="V162" s="3" t="n"/>
      <c r="W162" s="3" t="n"/>
      <c r="X162" s="2" t="n"/>
    </row>
    <row r="163">
      <c r="A163" s="6" t="inlineStr">
        <is>
          <t>קריית יערים</t>
        </is>
      </c>
      <c r="B163" s="7" t="n"/>
      <c r="C163" s="7" t="n">
        <v>7161</v>
      </c>
      <c r="D163" s="7" t="n">
        <v>7839</v>
      </c>
      <c r="E163" s="7" t="n">
        <v>7839</v>
      </c>
      <c r="F163" s="7" t="n">
        <v>1573</v>
      </c>
      <c r="G163" s="8" t="n">
        <v>4.6</v>
      </c>
      <c r="H163" s="8" t="n"/>
      <c r="I163" s="7" t="n"/>
      <c r="J163" s="8" t="n"/>
      <c r="K163" s="7" t="n"/>
      <c r="L163" s="7" t="n"/>
      <c r="M163" s="9" t="n"/>
      <c r="N163" s="7" t="n"/>
      <c r="O163" s="7" t="n"/>
      <c r="P163" s="7" t="n"/>
      <c r="Q163" s="9" t="n"/>
      <c r="R163" s="8" t="n"/>
      <c r="S163" s="8" t="n"/>
      <c r="T163" s="8" t="n"/>
      <c r="U163" s="9" t="n"/>
      <c r="V163" s="7" t="n"/>
      <c r="W163" s="7" t="n"/>
      <c r="X163" s="6" t="n"/>
    </row>
    <row r="164">
      <c r="A164" s="2" t="inlineStr">
        <is>
          <t>שעב</t>
        </is>
      </c>
      <c r="B164" s="3" t="n"/>
      <c r="C164" s="3" t="n">
        <v>7445</v>
      </c>
      <c r="D164" s="3" t="n">
        <v>7790</v>
      </c>
      <c r="E164" s="3" t="n">
        <v>7790</v>
      </c>
      <c r="F164" s="3" t="n">
        <v>2150</v>
      </c>
      <c r="G164" s="4" t="n">
        <v>3.5</v>
      </c>
      <c r="H164" s="4" t="n"/>
      <c r="I164" s="3" t="n"/>
      <c r="J164" s="4" t="n"/>
      <c r="K164" s="3" t="n"/>
      <c r="L164" s="3" t="n"/>
      <c r="M164" s="5" t="n"/>
      <c r="N164" s="3" t="n"/>
      <c r="O164" s="3" t="n"/>
      <c r="P164" s="3" t="n"/>
      <c r="Q164" s="5" t="n"/>
      <c r="R164" s="4" t="n"/>
      <c r="S164" s="4" t="n"/>
      <c r="T164" s="4" t="n"/>
      <c r="U164" s="5" t="n"/>
      <c r="V164" s="3" t="n"/>
      <c r="W164" s="3" t="n"/>
      <c r="X164" s="2" t="n"/>
    </row>
    <row r="165">
      <c r="A165" s="6" t="inlineStr">
        <is>
          <t>צור יצחק</t>
        </is>
      </c>
      <c r="B165" s="7" t="n"/>
      <c r="C165" s="7" t="n">
        <v>7303</v>
      </c>
      <c r="D165" s="7" t="n">
        <v>7780</v>
      </c>
      <c r="E165" s="7" t="n">
        <v>7780</v>
      </c>
      <c r="F165" s="7" t="n">
        <v>2138</v>
      </c>
      <c r="G165" s="8" t="n">
        <v>3.4</v>
      </c>
      <c r="H165" s="8" t="n"/>
      <c r="I165" s="7" t="n"/>
      <c r="J165" s="8" t="n"/>
      <c r="K165" s="7" t="n"/>
      <c r="L165" s="7" t="n"/>
      <c r="M165" s="9" t="n"/>
      <c r="N165" s="7" t="n"/>
      <c r="O165" s="7" t="n"/>
      <c r="P165" s="7" t="n"/>
      <c r="Q165" s="9" t="n"/>
      <c r="R165" s="8" t="n"/>
      <c r="S165" s="8" t="n"/>
      <c r="T165" s="8" t="n"/>
      <c r="U165" s="9" t="n"/>
      <c r="V165" s="7" t="n"/>
      <c r="W165" s="7" t="n"/>
      <c r="X165" s="6" t="n"/>
    </row>
    <row r="166">
      <c r="A166" s="2" t="inlineStr">
        <is>
          <t>בית דגן</t>
        </is>
      </c>
      <c r="B166" s="3" t="n"/>
      <c r="C166" s="3" t="n">
        <v>7616</v>
      </c>
      <c r="D166" s="3" t="n">
        <v>7727</v>
      </c>
      <c r="E166" s="3" t="n">
        <v>7727</v>
      </c>
      <c r="F166" s="3" t="n">
        <v>2663</v>
      </c>
      <c r="G166" s="4" t="n">
        <v>2.8</v>
      </c>
      <c r="H166" s="4" t="n"/>
      <c r="I166" s="3" t="n"/>
      <c r="J166" s="4" t="n"/>
      <c r="K166" s="3" t="n"/>
      <c r="L166" s="3" t="n"/>
      <c r="M166" s="5" t="n"/>
      <c r="N166" s="3" t="n"/>
      <c r="O166" s="3" t="n"/>
      <c r="P166" s="3" t="n"/>
      <c r="Q166" s="5" t="n"/>
      <c r="R166" s="4" t="n"/>
      <c r="S166" s="4" t="n"/>
      <c r="T166" s="4" t="n"/>
      <c r="U166" s="5" t="n"/>
      <c r="V166" s="3" t="n"/>
      <c r="W166" s="3" t="n"/>
      <c r="X166" s="2" t="n"/>
    </row>
    <row r="167">
      <c r="A167" s="6" t="inlineStr">
        <is>
          <t>קריית ארבע</t>
        </is>
      </c>
      <c r="B167" s="7" t="n"/>
      <c r="C167" s="7" t="n">
        <v>7442</v>
      </c>
      <c r="D167" s="7" t="n"/>
      <c r="E167" s="7" t="n"/>
      <c r="F167" s="7" t="n">
        <v>2154</v>
      </c>
      <c r="G167" s="8" t="n">
        <v>3.4</v>
      </c>
      <c r="H167" s="8" t="n"/>
      <c r="I167" s="7" t="n"/>
      <c r="J167" s="8" t="n"/>
      <c r="K167" s="7" t="n"/>
      <c r="L167" s="7" t="n"/>
      <c r="M167" s="9" t="n"/>
      <c r="N167" s="7" t="n"/>
      <c r="O167" s="7" t="n"/>
      <c r="P167" s="7" t="n"/>
      <c r="Q167" s="9" t="n"/>
      <c r="R167" s="8" t="n"/>
      <c r="S167" s="8" t="n"/>
      <c r="T167" s="8" t="n"/>
      <c r="U167" s="9" t="n"/>
      <c r="V167" s="7" t="n"/>
      <c r="W167" s="7" t="n"/>
      <c r="X167" s="6" t="n"/>
    </row>
    <row r="168">
      <c r="A168" s="2" t="inlineStr">
        <is>
          <t>טובא-זנגרייה</t>
        </is>
      </c>
      <c r="B168" s="3" t="n"/>
      <c r="C168" s="3" t="n">
        <v>6935</v>
      </c>
      <c r="D168" s="3" t="n">
        <v>7173</v>
      </c>
      <c r="E168" s="3" t="n">
        <v>7173</v>
      </c>
      <c r="F168" s="3" t="n">
        <v>1924</v>
      </c>
      <c r="G168" s="4" t="n">
        <v>3.6</v>
      </c>
      <c r="H168" s="4" t="n"/>
      <c r="I168" s="3" t="n"/>
      <c r="J168" s="4" t="n"/>
      <c r="K168" s="3" t="n"/>
      <c r="L168" s="3" t="n"/>
      <c r="M168" s="5" t="n"/>
      <c r="N168" s="3" t="n"/>
      <c r="O168" s="3" t="n"/>
      <c r="P168" s="3" t="n"/>
      <c r="Q168" s="5" t="n"/>
      <c r="R168" s="4" t="n"/>
      <c r="S168" s="4" t="n"/>
      <c r="T168" s="4" t="n"/>
      <c r="U168" s="5" t="n"/>
      <c r="V168" s="3" t="n"/>
      <c r="W168" s="3" t="n"/>
      <c r="X168" s="2" t="n"/>
    </row>
    <row r="169">
      <c r="A169" s="6" t="inlineStr">
        <is>
          <t>מכבים רעות</t>
        </is>
      </c>
      <c r="B169" s="7" t="n"/>
      <c r="C169" s="7" t="n"/>
      <c r="D169" s="7" t="n"/>
      <c r="E169" s="7" t="n"/>
      <c r="F169" s="7" t="n"/>
      <c r="G169" s="8" t="n"/>
      <c r="H169" s="8" t="n"/>
      <c r="I169" s="7" t="n"/>
      <c r="J169" s="8" t="n"/>
      <c r="K169" s="7" t="n"/>
      <c r="L169" s="7" t="n"/>
      <c r="M169" s="9" t="n"/>
      <c r="N169" s="7" t="n"/>
      <c r="O169" s="7" t="n"/>
      <c r="P169" s="7" t="n"/>
      <c r="Q169" s="9" t="n"/>
      <c r="R169" s="8" t="n"/>
      <c r="S169" s="8" t="n"/>
      <c r="T169" s="8" t="n"/>
      <c r="U169" s="9" t="n"/>
      <c r="V169" s="7" t="n"/>
      <c r="W169" s="7" t="n"/>
      <c r="X169" s="6" t="n"/>
    </row>
  </sheetData>
  <autoFilter ref="A1:X1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עיר</t>
        </is>
      </c>
      <c r="B1" s="1" t="inlineStr">
        <is>
          <t>2016</t>
        </is>
      </c>
      <c r="C1" s="1" t="inlineStr">
        <is>
          <t>2017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2021</t>
        </is>
      </c>
      <c r="H1" s="1" t="inlineStr">
        <is>
          <t>2022</t>
        </is>
      </c>
      <c r="I1" s="1" t="inlineStr">
        <is>
          <t>2023</t>
        </is>
      </c>
      <c r="J1" s="1" t="inlineStr">
        <is>
          <t>2024</t>
        </is>
      </c>
      <c r="K1" s="1" t="inlineStr">
        <is>
          <t>סה"כ</t>
        </is>
      </c>
      <c r="L1" s="1" t="inlineStr">
        <is>
          <t>ממוצע</t>
        </is>
      </c>
    </row>
    <row r="2">
      <c r="A2" s="2" t="inlineStr">
        <is>
          <t>אבו גוש</t>
        </is>
      </c>
      <c r="B2" s="3" t="n">
        <v>11</v>
      </c>
      <c r="C2" s="3" t="n">
        <v>26</v>
      </c>
      <c r="D2" s="3" t="n">
        <v>17</v>
      </c>
      <c r="E2" s="3" t="n">
        <v>17</v>
      </c>
      <c r="F2" s="3" t="n">
        <v>15</v>
      </c>
      <c r="G2" s="3" t="n">
        <v>45</v>
      </c>
      <c r="H2" s="3" t="n">
        <v>58</v>
      </c>
      <c r="I2" s="3" t="n">
        <v>137</v>
      </c>
      <c r="J2" s="3" t="n">
        <v>25</v>
      </c>
      <c r="K2" s="10">
        <f>SUM(B2:J2)</f>
        <v/>
      </c>
      <c r="L2" s="10">
        <f>AVERAGE(B2:J2)</f>
        <v/>
      </c>
    </row>
    <row r="3">
      <c r="A3" s="6" t="inlineStr">
        <is>
          <t>אבו סנאן</t>
        </is>
      </c>
      <c r="B3" s="7" t="n">
        <v>58</v>
      </c>
      <c r="C3" s="7" t="n">
        <v>35</v>
      </c>
      <c r="D3" s="7" t="n">
        <v>33</v>
      </c>
      <c r="E3" s="7" t="n">
        <v>47</v>
      </c>
      <c r="F3" s="7" t="n">
        <v>41</v>
      </c>
      <c r="G3" s="7" t="n">
        <v>62</v>
      </c>
      <c r="H3" s="7" t="n">
        <v>73</v>
      </c>
      <c r="I3" s="7" t="n">
        <v>65</v>
      </c>
      <c r="J3" s="7" t="n">
        <v>77</v>
      </c>
      <c r="K3" s="11">
        <f>SUM(B3:J3)</f>
        <v/>
      </c>
      <c r="L3" s="11">
        <f>AVERAGE(B3:J3)</f>
        <v/>
      </c>
    </row>
    <row r="4">
      <c r="A4" s="2" t="inlineStr">
        <is>
          <t>אבן יהודה</t>
        </is>
      </c>
      <c r="B4" s="3" t="n">
        <v>53</v>
      </c>
      <c r="C4" s="3" t="n">
        <v>83</v>
      </c>
      <c r="D4" s="3" t="n">
        <v>28</v>
      </c>
      <c r="E4" s="3" t="n">
        <v>20</v>
      </c>
      <c r="F4" s="3" t="n">
        <v>50</v>
      </c>
      <c r="G4" s="3" t="n">
        <v>79</v>
      </c>
      <c r="H4" s="3" t="n">
        <v>124</v>
      </c>
      <c r="I4" s="3" t="n">
        <v>419</v>
      </c>
      <c r="J4" s="3" t="n">
        <v>148</v>
      </c>
      <c r="K4" s="10">
        <f>SUM(B4:J4)</f>
        <v/>
      </c>
      <c r="L4" s="10">
        <f>AVERAGE(B4:J4)</f>
        <v/>
      </c>
    </row>
    <row r="5">
      <c r="A5" s="6" t="inlineStr">
        <is>
          <t>אום אל-פחם</t>
        </is>
      </c>
      <c r="B5" s="7" t="n">
        <v>115</v>
      </c>
      <c r="C5" s="7" t="n">
        <v>7</v>
      </c>
      <c r="D5" s="7" t="n">
        <v>135</v>
      </c>
      <c r="E5" s="7" t="n">
        <v>78</v>
      </c>
      <c r="F5" s="7" t="n">
        <v>46</v>
      </c>
      <c r="G5" s="7" t="n">
        <v>134</v>
      </c>
      <c r="H5" s="7" t="n">
        <v>82</v>
      </c>
      <c r="I5" s="7" t="n">
        <v>96</v>
      </c>
      <c r="J5" s="7" t="n">
        <v>94</v>
      </c>
      <c r="K5" s="11">
        <f>SUM(B5:J5)</f>
        <v/>
      </c>
      <c r="L5" s="11">
        <f>AVERAGE(B5:J5)</f>
        <v/>
      </c>
    </row>
    <row r="6">
      <c r="A6" s="2" t="inlineStr">
        <is>
          <t>אופקים</t>
        </is>
      </c>
      <c r="B6" s="3" t="n">
        <v>514</v>
      </c>
      <c r="C6" s="3" t="n">
        <v>244</v>
      </c>
      <c r="D6" s="3" t="n">
        <v>205</v>
      </c>
      <c r="E6" s="3" t="n">
        <v>318</v>
      </c>
      <c r="F6" s="3" t="n">
        <v>261</v>
      </c>
      <c r="G6" s="3" t="n">
        <v>647</v>
      </c>
      <c r="H6" s="3" t="n">
        <v>581</v>
      </c>
      <c r="I6" s="3" t="n">
        <v>685</v>
      </c>
      <c r="J6" s="3" t="n">
        <v>3009</v>
      </c>
      <c r="K6" s="10">
        <f>SUM(B6:J6)</f>
        <v/>
      </c>
      <c r="L6" s="10">
        <f>AVERAGE(B6:J6)</f>
        <v/>
      </c>
    </row>
    <row r="7">
      <c r="A7" s="6" t="inlineStr">
        <is>
          <t>אור יהודה</t>
        </is>
      </c>
      <c r="B7" s="7" t="n">
        <v>3</v>
      </c>
      <c r="C7" s="7" t="n">
        <v>6</v>
      </c>
      <c r="D7" s="7" t="n">
        <v>557</v>
      </c>
      <c r="E7" s="7" t="n">
        <v>1254</v>
      </c>
      <c r="F7" s="7" t="n">
        <v>588</v>
      </c>
      <c r="G7" s="7" t="n">
        <v>921</v>
      </c>
      <c r="H7" s="7" t="n">
        <v>1102</v>
      </c>
      <c r="I7" s="7" t="n">
        <v>296</v>
      </c>
      <c r="J7" s="7" t="n">
        <v>833</v>
      </c>
      <c r="K7" s="11">
        <f>SUM(B7:J7)</f>
        <v/>
      </c>
      <c r="L7" s="11">
        <f>AVERAGE(B7:J7)</f>
        <v/>
      </c>
    </row>
    <row r="8">
      <c r="A8" s="2" t="inlineStr">
        <is>
          <t>אור עקיבא</t>
        </is>
      </c>
      <c r="B8" s="3" t="n">
        <v>276</v>
      </c>
      <c r="C8" s="3" t="n">
        <v>194</v>
      </c>
      <c r="D8" s="3" t="n">
        <v>4</v>
      </c>
      <c r="E8" s="3" t="n">
        <v>821</v>
      </c>
      <c r="F8" s="3" t="n">
        <v>389</v>
      </c>
      <c r="G8" s="3" t="n">
        <v>1561</v>
      </c>
      <c r="H8" s="3" t="n">
        <v>15</v>
      </c>
      <c r="I8" s="3" t="n">
        <v>387</v>
      </c>
      <c r="J8" s="3" t="n">
        <v>203</v>
      </c>
      <c r="K8" s="10">
        <f>SUM(B8:J8)</f>
        <v/>
      </c>
      <c r="L8" s="10">
        <f>AVERAGE(B8:J8)</f>
        <v/>
      </c>
    </row>
    <row r="9">
      <c r="A9" s="6" t="inlineStr">
        <is>
          <t>אורנית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11">
        <f>SUM(B9:J9)</f>
        <v/>
      </c>
      <c r="L9" s="11">
        <f>AVERAGE(B9:J9)</f>
        <v/>
      </c>
    </row>
    <row r="10">
      <c r="A10" s="2" t="inlineStr">
        <is>
          <t>אזור</t>
        </is>
      </c>
      <c r="B10" s="3" t="n">
        <v>27</v>
      </c>
      <c r="C10" s="3" t="n">
        <v>202</v>
      </c>
      <c r="D10" s="3" t="n">
        <v>10</v>
      </c>
      <c r="E10" s="3" t="n">
        <v>15</v>
      </c>
      <c r="F10" s="3" t="n">
        <v>292</v>
      </c>
      <c r="G10" s="3" t="n">
        <v>11</v>
      </c>
      <c r="H10" s="3" t="n">
        <v>16</v>
      </c>
      <c r="I10" s="3" t="n">
        <v>7</v>
      </c>
      <c r="J10" s="3" t="n">
        <v>57</v>
      </c>
      <c r="K10" s="10">
        <f>SUM(B10:J10)</f>
        <v/>
      </c>
      <c r="L10" s="10">
        <f>AVERAGE(B10:J10)</f>
        <v/>
      </c>
    </row>
    <row r="11">
      <c r="A11" s="6" t="inlineStr">
        <is>
          <t>אילת</t>
        </is>
      </c>
      <c r="B11" s="7" t="n">
        <v>56</v>
      </c>
      <c r="C11" s="7" t="n">
        <v>40</v>
      </c>
      <c r="D11" s="7" t="n">
        <v>134</v>
      </c>
      <c r="E11" s="7" t="n">
        <v>144</v>
      </c>
      <c r="F11" s="7" t="n">
        <v>326</v>
      </c>
      <c r="G11" s="7" t="n">
        <v>803</v>
      </c>
      <c r="H11" s="7" t="n">
        <v>239</v>
      </c>
      <c r="I11" s="7" t="n">
        <v>605</v>
      </c>
      <c r="J11" s="7" t="n">
        <v>705</v>
      </c>
      <c r="K11" s="11">
        <f>SUM(B11:J11)</f>
        <v/>
      </c>
      <c r="L11" s="11">
        <f>AVERAGE(B11:J11)</f>
        <v/>
      </c>
    </row>
    <row r="12">
      <c r="A12" s="2" t="inlineStr">
        <is>
          <t>אכסאל</t>
        </is>
      </c>
      <c r="B12" s="3" t="n">
        <v>82</v>
      </c>
      <c r="C12" s="3" t="n">
        <v>46</v>
      </c>
      <c r="D12" s="3" t="n">
        <v>44</v>
      </c>
      <c r="E12" s="3" t="n">
        <v>65</v>
      </c>
      <c r="F12" s="3" t="n">
        <v>46</v>
      </c>
      <c r="G12" s="3" t="n">
        <v>55</v>
      </c>
      <c r="H12" s="3" t="n">
        <v>72</v>
      </c>
      <c r="I12" s="3" t="n">
        <v>71</v>
      </c>
      <c r="J12" s="3" t="n">
        <v>67</v>
      </c>
      <c r="K12" s="10">
        <f>SUM(B12:J12)</f>
        <v/>
      </c>
      <c r="L12" s="10">
        <f>AVERAGE(B12:J12)</f>
        <v/>
      </c>
    </row>
    <row r="13">
      <c r="A13" s="6" t="inlineStr">
        <is>
          <t>אלעד</t>
        </is>
      </c>
      <c r="B13" s="7" t="n">
        <v>2</v>
      </c>
      <c r="C13" s="7" t="n">
        <v>4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108</v>
      </c>
      <c r="I13" s="7" t="n">
        <v>32</v>
      </c>
      <c r="J13" s="7" t="n">
        <v>947</v>
      </c>
      <c r="K13" s="11">
        <f>SUM(B13:J13)</f>
        <v/>
      </c>
      <c r="L13" s="11">
        <f>AVERAGE(B13:J13)</f>
        <v/>
      </c>
    </row>
    <row r="14">
      <c r="A14" s="2" t="inlineStr">
        <is>
          <t>אלפי מנשה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10">
        <f>SUM(B14:J14)</f>
        <v/>
      </c>
      <c r="L14" s="10">
        <f>AVERAGE(B14:J14)</f>
        <v/>
      </c>
    </row>
    <row r="15">
      <c r="A15" s="6" t="inlineStr">
        <is>
          <t>אעבלין</t>
        </is>
      </c>
      <c r="B15" s="7" t="n">
        <v>69</v>
      </c>
      <c r="C15" s="7" t="n">
        <v>86</v>
      </c>
      <c r="D15" s="7" t="n">
        <v>36</v>
      </c>
      <c r="E15" s="7" t="n">
        <v>6</v>
      </c>
      <c r="F15" s="7" t="n">
        <v>19</v>
      </c>
      <c r="G15" s="7" t="n">
        <v>29</v>
      </c>
      <c r="H15" s="7" t="n">
        <v>79</v>
      </c>
      <c r="I15" s="7" t="n">
        <v>70</v>
      </c>
      <c r="J15" s="7" t="n">
        <v>48</v>
      </c>
      <c r="K15" s="11">
        <f>SUM(B15:J15)</f>
        <v/>
      </c>
      <c r="L15" s="11">
        <f>AVERAGE(B15:J15)</f>
        <v/>
      </c>
    </row>
    <row r="16">
      <c r="A16" s="2" t="inlineStr">
        <is>
          <t>אפרת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10">
        <f>SUM(B16:J16)</f>
        <v/>
      </c>
      <c r="L16" s="10">
        <f>AVERAGE(B16:J16)</f>
        <v/>
      </c>
    </row>
    <row r="17">
      <c r="A17" s="6" t="inlineStr">
        <is>
          <t>אריאל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11">
        <f>SUM(B17:J17)</f>
        <v/>
      </c>
      <c r="L17" s="11">
        <f>AVERAGE(B17:J17)</f>
        <v/>
      </c>
    </row>
    <row r="18">
      <c r="A18" s="2" t="inlineStr">
        <is>
          <t>אשדוד</t>
        </is>
      </c>
      <c r="B18" s="3" t="n">
        <v>1117</v>
      </c>
      <c r="C18" s="3" t="n">
        <v>298</v>
      </c>
      <c r="D18" s="3" t="n">
        <v>972</v>
      </c>
      <c r="E18" s="3" t="n">
        <v>1383</v>
      </c>
      <c r="F18" s="3" t="n">
        <v>762</v>
      </c>
      <c r="G18" s="3" t="n">
        <v>1028</v>
      </c>
      <c r="H18" s="3" t="n">
        <v>2468</v>
      </c>
      <c r="I18" s="3" t="n">
        <v>1926</v>
      </c>
      <c r="J18" s="3" t="n">
        <v>2757</v>
      </c>
      <c r="K18" s="10">
        <f>SUM(B18:J18)</f>
        <v/>
      </c>
      <c r="L18" s="10">
        <f>AVERAGE(B18:J18)</f>
        <v/>
      </c>
    </row>
    <row r="19">
      <c r="A19" s="6" t="inlineStr">
        <is>
          <t>אשקלון</t>
        </is>
      </c>
      <c r="B19" s="7" t="n">
        <v>1805</v>
      </c>
      <c r="C19" s="7" t="n">
        <v>1963</v>
      </c>
      <c r="D19" s="7" t="n">
        <v>890</v>
      </c>
      <c r="E19" s="7" t="n">
        <v>1393</v>
      </c>
      <c r="F19" s="7" t="n">
        <v>3100</v>
      </c>
      <c r="G19" s="7" t="n">
        <v>4207</v>
      </c>
      <c r="H19" s="7" t="n">
        <v>2273</v>
      </c>
      <c r="I19" s="7" t="n">
        <v>1774</v>
      </c>
      <c r="J19" s="7" t="n">
        <v>1476</v>
      </c>
      <c r="K19" s="11">
        <f>SUM(B19:J19)</f>
        <v/>
      </c>
      <c r="L19" s="11">
        <f>AVERAGE(B19:J19)</f>
        <v/>
      </c>
    </row>
    <row r="20">
      <c r="A20" s="2" t="inlineStr">
        <is>
          <t>באקה אל-גרביה</t>
        </is>
      </c>
      <c r="B20" s="3" t="n">
        <v>43</v>
      </c>
      <c r="C20" s="3" t="n">
        <v>7</v>
      </c>
      <c r="D20" s="3" t="n">
        <v>58</v>
      </c>
      <c r="E20" s="3" t="n">
        <v>46</v>
      </c>
      <c r="F20" s="3" t="n">
        <v>58</v>
      </c>
      <c r="G20" s="3" t="n">
        <v>109</v>
      </c>
      <c r="H20" s="3" t="n">
        <v>130</v>
      </c>
      <c r="I20" s="3" t="n">
        <v>120</v>
      </c>
      <c r="J20" s="3" t="n">
        <v>132</v>
      </c>
      <c r="K20" s="10">
        <f>SUM(B20:J20)</f>
        <v/>
      </c>
      <c r="L20" s="10">
        <f>AVERAGE(B20:J20)</f>
        <v/>
      </c>
    </row>
    <row r="21">
      <c r="A21" s="6" t="inlineStr">
        <is>
          <t>באר יעקב</t>
        </is>
      </c>
      <c r="B21" s="7" t="n">
        <v>337</v>
      </c>
      <c r="C21" s="7" t="n">
        <v>169</v>
      </c>
      <c r="D21" s="7" t="n">
        <v>145</v>
      </c>
      <c r="E21" s="7" t="n">
        <v>897</v>
      </c>
      <c r="F21" s="7" t="n">
        <v>1141</v>
      </c>
      <c r="G21" s="7" t="n">
        <v>1185</v>
      </c>
      <c r="H21" s="7" t="n">
        <v>1156</v>
      </c>
      <c r="I21" s="7" t="n">
        <v>625</v>
      </c>
      <c r="J21" s="7" t="n">
        <v>2347</v>
      </c>
      <c r="K21" s="11">
        <f>SUM(B21:J21)</f>
        <v/>
      </c>
      <c r="L21" s="11">
        <f>AVERAGE(B21:J21)</f>
        <v/>
      </c>
    </row>
    <row r="22">
      <c r="A22" s="2" t="inlineStr">
        <is>
          <t>באר שבע</t>
        </is>
      </c>
      <c r="B22" s="3" t="n">
        <v>2210</v>
      </c>
      <c r="C22" s="3" t="n">
        <v>1005</v>
      </c>
      <c r="D22" s="3" t="n">
        <v>1655</v>
      </c>
      <c r="E22" s="3" t="n">
        <v>2178</v>
      </c>
      <c r="F22" s="3" t="n">
        <v>544</v>
      </c>
      <c r="G22" s="3" t="n">
        <v>1525</v>
      </c>
      <c r="H22" s="3" t="n">
        <v>2263</v>
      </c>
      <c r="I22" s="3" t="n">
        <v>951</v>
      </c>
      <c r="J22" s="3" t="n">
        <v>702</v>
      </c>
      <c r="K22" s="10">
        <f>SUM(B22:J22)</f>
        <v/>
      </c>
      <c r="L22" s="10">
        <f>AVERAGE(B22:J22)</f>
        <v/>
      </c>
    </row>
    <row r="23">
      <c r="A23" s="6" t="inlineStr">
        <is>
          <t>בועיינה-נוג'ידאת</t>
        </is>
      </c>
      <c r="B23" s="7" t="n">
        <v>77</v>
      </c>
      <c r="C23" s="7" t="n">
        <v>73</v>
      </c>
      <c r="D23" s="7" t="n">
        <v>23</v>
      </c>
      <c r="E23" s="7" t="n">
        <v>72</v>
      </c>
      <c r="F23" s="7" t="n">
        <v>42</v>
      </c>
      <c r="G23" s="7" t="n">
        <v>49</v>
      </c>
      <c r="H23" s="7" t="n">
        <v>86</v>
      </c>
      <c r="I23" s="7" t="n">
        <v>82</v>
      </c>
      <c r="J23" s="7" t="n">
        <v>68</v>
      </c>
      <c r="K23" s="11">
        <f>SUM(B23:J23)</f>
        <v/>
      </c>
      <c r="L23" s="11">
        <f>AVERAGE(B23:J23)</f>
        <v/>
      </c>
    </row>
    <row r="24">
      <c r="A24" s="2" t="inlineStr">
        <is>
          <t>ביר אל-מכסור</t>
        </is>
      </c>
      <c r="B24" s="3" t="n">
        <v>51</v>
      </c>
      <c r="C24" s="3" t="n">
        <v>70</v>
      </c>
      <c r="D24" s="3" t="n">
        <v>28</v>
      </c>
      <c r="E24" s="3" t="n">
        <v>11</v>
      </c>
      <c r="F24" s="3" t="n">
        <v>9</v>
      </c>
      <c r="G24" s="3" t="n">
        <v>47</v>
      </c>
      <c r="H24" s="3" t="n">
        <v>89</v>
      </c>
      <c r="I24" s="3" t="n">
        <v>84</v>
      </c>
      <c r="J24" s="3" t="n">
        <v>82</v>
      </c>
      <c r="K24" s="10">
        <f>SUM(B24:J24)</f>
        <v/>
      </c>
      <c r="L24" s="10">
        <f>AVERAGE(B24:J24)</f>
        <v/>
      </c>
    </row>
    <row r="25">
      <c r="A25" s="6" t="inlineStr">
        <is>
          <t>בית ג'ן</t>
        </is>
      </c>
      <c r="B25" s="7" t="n">
        <v>25</v>
      </c>
      <c r="C25" s="7" t="n">
        <v>33</v>
      </c>
      <c r="D25" s="7" t="n">
        <v>28</v>
      </c>
      <c r="E25" s="7" t="n">
        <v>30</v>
      </c>
      <c r="F25" s="7" t="n">
        <v>25</v>
      </c>
      <c r="G25" s="7" t="n">
        <v>42</v>
      </c>
      <c r="H25" s="7" t="n">
        <v>59</v>
      </c>
      <c r="I25" s="7" t="n">
        <v>58</v>
      </c>
      <c r="J25" s="7" t="n">
        <v>78</v>
      </c>
      <c r="K25" s="11">
        <f>SUM(B25:J25)</f>
        <v/>
      </c>
      <c r="L25" s="11">
        <f>AVERAGE(B25:J25)</f>
        <v/>
      </c>
    </row>
    <row r="26">
      <c r="A26" s="2" t="inlineStr">
        <is>
          <t>בית דגן</t>
        </is>
      </c>
      <c r="B26" s="3" t="n">
        <v>0</v>
      </c>
      <c r="C26" s="3" t="n">
        <v>119</v>
      </c>
      <c r="D26" s="3" t="n">
        <v>2</v>
      </c>
      <c r="E26" s="3" t="n">
        <v>106</v>
      </c>
      <c r="F26" s="3" t="n">
        <v>9</v>
      </c>
      <c r="G26" s="3" t="n">
        <v>4</v>
      </c>
      <c r="H26" s="3" t="n">
        <v>3</v>
      </c>
      <c r="I26" s="3" t="n">
        <v>1</v>
      </c>
      <c r="J26" s="3" t="n">
        <v>42</v>
      </c>
      <c r="K26" s="10">
        <f>SUM(B26:J26)</f>
        <v/>
      </c>
      <c r="L26" s="10">
        <f>AVERAGE(B26:J26)</f>
        <v/>
      </c>
    </row>
    <row r="27">
      <c r="A27" s="6" t="inlineStr">
        <is>
          <t>בית שאן</t>
        </is>
      </c>
      <c r="B27" s="7" t="n">
        <v>50</v>
      </c>
      <c r="C27" s="7" t="n">
        <v>78</v>
      </c>
      <c r="D27" s="7" t="n">
        <v>77</v>
      </c>
      <c r="E27" s="7" t="n">
        <v>103</v>
      </c>
      <c r="F27" s="7" t="n">
        <v>79</v>
      </c>
      <c r="G27" s="7" t="n">
        <v>20</v>
      </c>
      <c r="H27" s="7" t="n">
        <v>2</v>
      </c>
      <c r="I27" s="7" t="n">
        <v>28</v>
      </c>
      <c r="J27" s="7" t="n">
        <v>266</v>
      </c>
      <c r="K27" s="11">
        <f>SUM(B27:J27)</f>
        <v/>
      </c>
      <c r="L27" s="11">
        <f>AVERAGE(B27:J27)</f>
        <v/>
      </c>
    </row>
    <row r="28">
      <c r="A28" s="2" t="inlineStr">
        <is>
          <t>בית שמש</t>
        </is>
      </c>
      <c r="B28" s="3" t="n">
        <v>312</v>
      </c>
      <c r="C28" s="3" t="n">
        <v>251</v>
      </c>
      <c r="D28" s="3" t="n">
        <v>743</v>
      </c>
      <c r="E28" s="3" t="n">
        <v>1202</v>
      </c>
      <c r="F28" s="3" t="n">
        <v>1558</v>
      </c>
      <c r="G28" s="3" t="n">
        <v>2728</v>
      </c>
      <c r="H28" s="3" t="n">
        <v>2692</v>
      </c>
      <c r="I28" s="3" t="n">
        <v>1717</v>
      </c>
      <c r="J28" s="3" t="n">
        <v>1548</v>
      </c>
      <c r="K28" s="10">
        <f>SUM(B28:J28)</f>
        <v/>
      </c>
      <c r="L28" s="10">
        <f>AVERAGE(B28:J28)</f>
        <v/>
      </c>
    </row>
    <row r="29">
      <c r="A29" s="6" t="inlineStr">
        <is>
          <t>ביתר עילית</t>
        </is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11">
        <f>SUM(B29:J29)</f>
        <v/>
      </c>
      <c r="L29" s="11">
        <f>AVERAGE(B29:J29)</f>
        <v/>
      </c>
    </row>
    <row r="30">
      <c r="A30" s="2" t="inlineStr">
        <is>
          <t>בני ברק</t>
        </is>
      </c>
      <c r="B30" s="3" t="n">
        <v>580</v>
      </c>
      <c r="C30" s="3" t="n">
        <v>721</v>
      </c>
      <c r="D30" s="3" t="n">
        <v>458</v>
      </c>
      <c r="E30" s="3" t="n">
        <v>440</v>
      </c>
      <c r="F30" s="3" t="n">
        <v>482</v>
      </c>
      <c r="G30" s="3" t="n">
        <v>1985</v>
      </c>
      <c r="H30" s="3" t="n">
        <v>976</v>
      </c>
      <c r="I30" s="3" t="n">
        <v>1161</v>
      </c>
      <c r="J30" s="3" t="n">
        <v>1412</v>
      </c>
      <c r="K30" s="10">
        <f>SUM(B30:J30)</f>
        <v/>
      </c>
      <c r="L30" s="10">
        <f>AVERAGE(B30:J30)</f>
        <v/>
      </c>
    </row>
    <row r="31">
      <c r="A31" s="6" t="inlineStr">
        <is>
          <t>בנימינה-גבעת עדה</t>
        </is>
      </c>
      <c r="B31" s="7" t="n">
        <v>48</v>
      </c>
      <c r="C31" s="7" t="n">
        <v>50</v>
      </c>
      <c r="D31" s="7" t="n">
        <v>43</v>
      </c>
      <c r="E31" s="7" t="n">
        <v>44</v>
      </c>
      <c r="F31" s="7" t="n">
        <v>60</v>
      </c>
      <c r="G31" s="7" t="n">
        <v>45</v>
      </c>
      <c r="H31" s="7" t="n">
        <v>133</v>
      </c>
      <c r="I31" s="7" t="n">
        <v>107</v>
      </c>
      <c r="J31" s="7" t="n">
        <v>111</v>
      </c>
      <c r="K31" s="11">
        <f>SUM(B31:J31)</f>
        <v/>
      </c>
      <c r="L31" s="11">
        <f>AVERAGE(B31:J31)</f>
        <v/>
      </c>
    </row>
    <row r="32">
      <c r="A32" s="2" t="inlineStr">
        <is>
          <t>בסמ"ה</t>
        </is>
      </c>
      <c r="B32" s="3" t="n">
        <v>13</v>
      </c>
      <c r="C32" s="3" t="n">
        <v>3</v>
      </c>
      <c r="D32" s="3" t="n">
        <v>11</v>
      </c>
      <c r="E32" s="3" t="n">
        <v>3</v>
      </c>
      <c r="F32" s="3" t="n">
        <v>8</v>
      </c>
      <c r="G32" s="3" t="n">
        <v>19</v>
      </c>
      <c r="H32" s="3" t="n">
        <v>36</v>
      </c>
      <c r="I32" s="3" t="n">
        <v>39</v>
      </c>
      <c r="J32" s="3" t="n">
        <v>71</v>
      </c>
      <c r="K32" s="10">
        <f>SUM(B32:J32)</f>
        <v/>
      </c>
      <c r="L32" s="10">
        <f>AVERAGE(B32:J32)</f>
        <v/>
      </c>
    </row>
    <row r="33">
      <c r="A33" s="6" t="inlineStr">
        <is>
          <t>בסמת טבעון</t>
        </is>
      </c>
      <c r="B33" s="7" t="n">
        <v>18</v>
      </c>
      <c r="C33" s="7" t="n">
        <v>29</v>
      </c>
      <c r="D33" s="7" t="n">
        <v>16</v>
      </c>
      <c r="E33" s="7" t="n">
        <v>11</v>
      </c>
      <c r="F33" s="7" t="n">
        <v>20</v>
      </c>
      <c r="G33" s="7" t="n">
        <v>31</v>
      </c>
      <c r="H33" s="7" t="n">
        <v>47</v>
      </c>
      <c r="I33" s="7" t="n">
        <v>63</v>
      </c>
      <c r="J33" s="7" t="n">
        <v>71</v>
      </c>
      <c r="K33" s="11">
        <f>SUM(B33:J33)</f>
        <v/>
      </c>
      <c r="L33" s="11">
        <f>AVERAGE(B33:J33)</f>
        <v/>
      </c>
    </row>
    <row r="34">
      <c r="A34" s="2" t="inlineStr">
        <is>
          <t>בענה</t>
        </is>
      </c>
      <c r="B34" s="3" t="n">
        <v>6</v>
      </c>
      <c r="C34" s="3" t="n">
        <v>14</v>
      </c>
      <c r="D34" s="3" t="n">
        <v>9</v>
      </c>
      <c r="E34" s="3" t="n">
        <v>3</v>
      </c>
      <c r="F34" s="3" t="n">
        <v>13</v>
      </c>
      <c r="G34" s="3" t="n">
        <v>9</v>
      </c>
      <c r="H34" s="3" t="n">
        <v>0</v>
      </c>
      <c r="I34" s="3" t="n">
        <v>0</v>
      </c>
      <c r="J34" s="3" t="n">
        <v>0</v>
      </c>
      <c r="K34" s="10">
        <f>SUM(B34:J34)</f>
        <v/>
      </c>
      <c r="L34" s="10">
        <f>AVERAGE(B34:J34)</f>
        <v/>
      </c>
    </row>
    <row r="35">
      <c r="A35" s="6" t="inlineStr">
        <is>
          <t>בת ים</t>
        </is>
      </c>
      <c r="B35" s="7" t="n">
        <v>630</v>
      </c>
      <c r="C35" s="7" t="n">
        <v>636</v>
      </c>
      <c r="D35" s="7" t="n">
        <v>598</v>
      </c>
      <c r="E35" s="7" t="n">
        <v>684</v>
      </c>
      <c r="F35" s="7" t="n">
        <v>552</v>
      </c>
      <c r="G35" s="7" t="n">
        <v>3035</v>
      </c>
      <c r="H35" s="7" t="n">
        <v>3195</v>
      </c>
      <c r="I35" s="7" t="n">
        <v>2137</v>
      </c>
      <c r="J35" s="7" t="n">
        <v>2580</v>
      </c>
      <c r="K35" s="11">
        <f>SUM(B35:J35)</f>
        <v/>
      </c>
      <c r="L35" s="11">
        <f>AVERAGE(B35:J35)</f>
        <v/>
      </c>
    </row>
    <row r="36">
      <c r="A36" s="2" t="inlineStr">
        <is>
          <t>ג'דיידה-מכר</t>
        </is>
      </c>
      <c r="B36" s="3" t="n">
        <v>69</v>
      </c>
      <c r="C36" s="3" t="n">
        <v>47</v>
      </c>
      <c r="D36" s="3" t="n">
        <v>65</v>
      </c>
      <c r="E36" s="3" t="n">
        <v>86</v>
      </c>
      <c r="F36" s="3" t="n">
        <v>93</v>
      </c>
      <c r="G36" s="3" t="n">
        <v>130</v>
      </c>
      <c r="H36" s="3" t="n">
        <v>91</v>
      </c>
      <c r="I36" s="3" t="n">
        <v>142</v>
      </c>
      <c r="J36" s="3" t="n">
        <v>140</v>
      </c>
      <c r="K36" s="10">
        <f>SUM(B36:J36)</f>
        <v/>
      </c>
      <c r="L36" s="10">
        <f>AVERAGE(B36:J36)</f>
        <v/>
      </c>
    </row>
    <row r="37">
      <c r="A37" s="6" t="inlineStr">
        <is>
          <t>ג'לג'וליה</t>
        </is>
      </c>
      <c r="B37" s="7" t="n">
        <v>1</v>
      </c>
      <c r="C37" s="7" t="n">
        <v>8</v>
      </c>
      <c r="D37" s="7" t="n">
        <v>25</v>
      </c>
      <c r="E37" s="7" t="n">
        <v>0</v>
      </c>
      <c r="F37" s="7" t="n">
        <v>33</v>
      </c>
      <c r="G37" s="7" t="n">
        <v>68</v>
      </c>
      <c r="H37" s="7" t="n">
        <v>89</v>
      </c>
      <c r="I37" s="7" t="n">
        <v>52</v>
      </c>
      <c r="J37" s="7" t="n">
        <v>56</v>
      </c>
      <c r="K37" s="11">
        <f>SUM(B37:J37)</f>
        <v/>
      </c>
      <c r="L37" s="11">
        <f>AVERAGE(B37:J37)</f>
        <v/>
      </c>
    </row>
    <row r="38">
      <c r="A38" s="2" t="inlineStr">
        <is>
          <t>ג'סר א-זרקא</t>
        </is>
      </c>
      <c r="B38" s="3" t="n">
        <v>59</v>
      </c>
      <c r="C38" s="3" t="n">
        <v>61</v>
      </c>
      <c r="D38" s="3" t="n">
        <v>45</v>
      </c>
      <c r="E38" s="3" t="n">
        <v>51</v>
      </c>
      <c r="F38" s="3" t="n">
        <v>37</v>
      </c>
      <c r="G38" s="3" t="n">
        <v>24</v>
      </c>
      <c r="H38" s="3" t="n">
        <v>133</v>
      </c>
      <c r="I38" s="3" t="n">
        <v>132</v>
      </c>
      <c r="J38" s="3" t="n">
        <v>31</v>
      </c>
      <c r="K38" s="10">
        <f>SUM(B38:J38)</f>
        <v/>
      </c>
      <c r="L38" s="10">
        <f>AVERAGE(B38:J38)</f>
        <v/>
      </c>
    </row>
    <row r="39">
      <c r="A39" s="6" t="inlineStr">
        <is>
          <t>ג'ת</t>
        </is>
      </c>
      <c r="B39" s="7" t="n">
        <v>21</v>
      </c>
      <c r="C39" s="7" t="n">
        <v>5</v>
      </c>
      <c r="D39" s="7" t="n">
        <v>33</v>
      </c>
      <c r="E39" s="7" t="n">
        <v>23</v>
      </c>
      <c r="F39" s="7" t="n">
        <v>5</v>
      </c>
      <c r="G39" s="7" t="n">
        <v>41</v>
      </c>
      <c r="H39" s="7" t="n">
        <v>31</v>
      </c>
      <c r="I39" s="7" t="n">
        <v>26</v>
      </c>
      <c r="J39" s="7" t="n">
        <v>50</v>
      </c>
      <c r="K39" s="11">
        <f>SUM(B39:J39)</f>
        <v/>
      </c>
      <c r="L39" s="11">
        <f>AVERAGE(B39:J39)</f>
        <v/>
      </c>
    </row>
    <row r="40">
      <c r="A40" s="2" t="inlineStr">
        <is>
          <t>גבעת זאב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10">
        <f>SUM(B40:J40)</f>
        <v/>
      </c>
      <c r="L40" s="10">
        <f>AVERAGE(B40:J40)</f>
        <v/>
      </c>
    </row>
    <row r="41">
      <c r="A41" s="6" t="inlineStr">
        <is>
          <t>גבעת שמואל</t>
        </is>
      </c>
      <c r="B41" s="7" t="n">
        <v>339</v>
      </c>
      <c r="C41" s="7" t="n">
        <v>135</v>
      </c>
      <c r="D41" s="7" t="n">
        <v>216</v>
      </c>
      <c r="E41" s="7" t="n">
        <v>211</v>
      </c>
      <c r="F41" s="7" t="n">
        <v>510</v>
      </c>
      <c r="G41" s="7" t="n">
        <v>554</v>
      </c>
      <c r="H41" s="7" t="n">
        <v>475</v>
      </c>
      <c r="I41" s="7" t="n">
        <v>260</v>
      </c>
      <c r="J41" s="7" t="n">
        <v>550</v>
      </c>
      <c r="K41" s="11">
        <f>SUM(B41:J41)</f>
        <v/>
      </c>
      <c r="L41" s="11">
        <f>AVERAGE(B41:J41)</f>
        <v/>
      </c>
    </row>
    <row r="42">
      <c r="A42" s="2" t="inlineStr">
        <is>
          <t>גבעתיים</t>
        </is>
      </c>
      <c r="B42" s="3" t="n">
        <v>242</v>
      </c>
      <c r="C42" s="3" t="n">
        <v>537</v>
      </c>
      <c r="D42" s="3" t="n">
        <v>1088</v>
      </c>
      <c r="E42" s="3" t="n">
        <v>522</v>
      </c>
      <c r="F42" s="3" t="n">
        <v>161</v>
      </c>
      <c r="G42" s="3" t="n">
        <v>234</v>
      </c>
      <c r="H42" s="3" t="n">
        <v>261</v>
      </c>
      <c r="I42" s="3" t="n">
        <v>1088</v>
      </c>
      <c r="J42" s="3" t="n">
        <v>287</v>
      </c>
      <c r="K42" s="10">
        <f>SUM(B42:J42)</f>
        <v/>
      </c>
      <c r="L42" s="10">
        <f>AVERAGE(B42:J42)</f>
        <v/>
      </c>
    </row>
    <row r="43">
      <c r="A43" s="6" t="inlineStr">
        <is>
          <t>גדרה</t>
        </is>
      </c>
      <c r="B43" s="7" t="n">
        <v>80</v>
      </c>
      <c r="C43" s="7" t="n">
        <v>47</v>
      </c>
      <c r="D43" s="7" t="n">
        <v>319</v>
      </c>
      <c r="E43" s="7" t="n">
        <v>375</v>
      </c>
      <c r="F43" s="7" t="n">
        <v>271</v>
      </c>
      <c r="G43" s="7" t="n">
        <v>483</v>
      </c>
      <c r="H43" s="7" t="n">
        <v>149</v>
      </c>
      <c r="I43" s="7" t="n">
        <v>64</v>
      </c>
      <c r="J43" s="7" t="n">
        <v>114</v>
      </c>
      <c r="K43" s="11">
        <f>SUM(B43:J43)</f>
        <v/>
      </c>
      <c r="L43" s="11">
        <f>AVERAGE(B43:J43)</f>
        <v/>
      </c>
    </row>
    <row r="44">
      <c r="A44" s="2" t="inlineStr">
        <is>
          <t>גן יבנה</t>
        </is>
      </c>
      <c r="B44" s="3" t="n">
        <v>65</v>
      </c>
      <c r="C44" s="3" t="n">
        <v>54</v>
      </c>
      <c r="D44" s="3" t="n">
        <v>33</v>
      </c>
      <c r="E44" s="3" t="n">
        <v>54</v>
      </c>
      <c r="F44" s="3" t="n">
        <v>197</v>
      </c>
      <c r="G44" s="3" t="n">
        <v>981</v>
      </c>
      <c r="H44" s="3" t="n">
        <v>316</v>
      </c>
      <c r="I44" s="3" t="n">
        <v>69</v>
      </c>
      <c r="J44" s="3" t="n">
        <v>29</v>
      </c>
      <c r="K44" s="10">
        <f>SUM(B44:J44)</f>
        <v/>
      </c>
      <c r="L44" s="10">
        <f>AVERAGE(B44:J44)</f>
        <v/>
      </c>
    </row>
    <row r="45">
      <c r="A45" s="6" t="inlineStr">
        <is>
          <t>גני תקווה</t>
        </is>
      </c>
      <c r="B45" s="7" t="n">
        <v>279</v>
      </c>
      <c r="C45" s="7" t="n">
        <v>377</v>
      </c>
      <c r="D45" s="7" t="n">
        <v>332</v>
      </c>
      <c r="E45" s="7" t="n">
        <v>144</v>
      </c>
      <c r="F45" s="7" t="n">
        <v>285</v>
      </c>
      <c r="G45" s="7" t="n">
        <v>22</v>
      </c>
      <c r="H45" s="7" t="n">
        <v>21</v>
      </c>
      <c r="I45" s="7" t="n">
        <v>107</v>
      </c>
      <c r="J45" s="7" t="n">
        <v>6</v>
      </c>
      <c r="K45" s="11">
        <f>SUM(B45:J45)</f>
        <v/>
      </c>
      <c r="L45" s="11">
        <f>AVERAGE(B45:J45)</f>
        <v/>
      </c>
    </row>
    <row r="46">
      <c r="A46" s="2" t="inlineStr">
        <is>
          <t>דאלית אל-כרמל</t>
        </is>
      </c>
      <c r="B46" s="3" t="n">
        <v>223</v>
      </c>
      <c r="C46" s="3" t="n">
        <v>53</v>
      </c>
      <c r="D46" s="3" t="n">
        <v>505</v>
      </c>
      <c r="E46" s="3" t="n">
        <v>96</v>
      </c>
      <c r="F46" s="3" t="n">
        <v>10</v>
      </c>
      <c r="G46" s="3" t="n">
        <v>55</v>
      </c>
      <c r="H46" s="3" t="n">
        <v>59</v>
      </c>
      <c r="I46" s="3" t="n">
        <v>31</v>
      </c>
      <c r="J46" s="3" t="n">
        <v>41</v>
      </c>
      <c r="K46" s="10">
        <f>SUM(B46:J46)</f>
        <v/>
      </c>
      <c r="L46" s="10">
        <f>AVERAGE(B46:J46)</f>
        <v/>
      </c>
    </row>
    <row r="47">
      <c r="A47" s="6" t="inlineStr">
        <is>
          <t>דבורייה</t>
        </is>
      </c>
      <c r="B47" s="7" t="n">
        <v>52</v>
      </c>
      <c r="C47" s="7" t="n">
        <v>45</v>
      </c>
      <c r="D47" s="7" t="n">
        <v>25</v>
      </c>
      <c r="E47" s="7" t="n">
        <v>28</v>
      </c>
      <c r="F47" s="7" t="n">
        <v>33</v>
      </c>
      <c r="G47" s="7" t="n">
        <v>10</v>
      </c>
      <c r="H47" s="7" t="n">
        <v>30</v>
      </c>
      <c r="I47" s="7" t="n">
        <v>101</v>
      </c>
      <c r="J47" s="7" t="n">
        <v>136</v>
      </c>
      <c r="K47" s="11">
        <f>SUM(B47:J47)</f>
        <v/>
      </c>
      <c r="L47" s="11">
        <f>AVERAGE(B47:J47)</f>
        <v/>
      </c>
    </row>
    <row r="48">
      <c r="A48" s="2" t="inlineStr">
        <is>
          <t>דייר אל-אסד</t>
        </is>
      </c>
      <c r="B48" s="3" t="n">
        <v>4</v>
      </c>
      <c r="C48" s="3" t="n">
        <v>32</v>
      </c>
      <c r="D48" s="3" t="n">
        <v>12</v>
      </c>
      <c r="E48" s="3" t="n">
        <v>7</v>
      </c>
      <c r="F48" s="3" t="n">
        <v>20</v>
      </c>
      <c r="G48" s="3" t="n">
        <v>17</v>
      </c>
      <c r="H48" s="3" t="n">
        <v>15</v>
      </c>
      <c r="I48" s="3" t="n">
        <v>0</v>
      </c>
      <c r="J48" s="3" t="n">
        <v>0</v>
      </c>
      <c r="K48" s="10">
        <f>SUM(B48:J48)</f>
        <v/>
      </c>
      <c r="L48" s="10">
        <f>AVERAGE(B48:J48)</f>
        <v/>
      </c>
    </row>
    <row r="49">
      <c r="A49" s="6" t="inlineStr">
        <is>
          <t>דייר חנא</t>
        </is>
      </c>
      <c r="B49" s="7" t="n">
        <v>41</v>
      </c>
      <c r="C49" s="7" t="n">
        <v>41</v>
      </c>
      <c r="D49" s="7" t="n">
        <v>34</v>
      </c>
      <c r="E49" s="7" t="n">
        <v>20</v>
      </c>
      <c r="F49" s="7" t="n">
        <v>45</v>
      </c>
      <c r="G49" s="7" t="n">
        <v>43</v>
      </c>
      <c r="H49" s="7" t="n">
        <v>95</v>
      </c>
      <c r="I49" s="7" t="n">
        <v>83</v>
      </c>
      <c r="J49" s="7" t="n">
        <v>112</v>
      </c>
      <c r="K49" s="11">
        <f>SUM(B49:J49)</f>
        <v/>
      </c>
      <c r="L49" s="11">
        <f>AVERAGE(B49:J49)</f>
        <v/>
      </c>
    </row>
    <row r="50">
      <c r="A50" s="2" t="inlineStr">
        <is>
          <t>דימונה</t>
        </is>
      </c>
      <c r="B50" s="3" t="n">
        <v>303</v>
      </c>
      <c r="C50" s="3" t="n">
        <v>322</v>
      </c>
      <c r="D50" s="3" t="n">
        <v>472</v>
      </c>
      <c r="E50" s="3" t="n">
        <v>237</v>
      </c>
      <c r="F50" s="3" t="n">
        <v>465</v>
      </c>
      <c r="G50" s="3" t="n">
        <v>102</v>
      </c>
      <c r="H50" s="3" t="n">
        <v>316</v>
      </c>
      <c r="I50" s="3" t="n">
        <v>368</v>
      </c>
      <c r="J50" s="3" t="n">
        <v>693</v>
      </c>
      <c r="K50" s="10">
        <f>SUM(B50:J50)</f>
        <v/>
      </c>
      <c r="L50" s="10">
        <f>AVERAGE(B50:J50)</f>
        <v/>
      </c>
    </row>
    <row r="51">
      <c r="A51" s="6" t="inlineStr">
        <is>
          <t>הוד השרון</t>
        </is>
      </c>
      <c r="B51" s="7" t="n">
        <v>151</v>
      </c>
      <c r="C51" s="7" t="n">
        <v>814</v>
      </c>
      <c r="D51" s="7" t="n">
        <v>231</v>
      </c>
      <c r="E51" s="7" t="n">
        <v>309</v>
      </c>
      <c r="F51" s="7" t="n">
        <v>362</v>
      </c>
      <c r="G51" s="7" t="n">
        <v>392</v>
      </c>
      <c r="H51" s="7" t="n">
        <v>823</v>
      </c>
      <c r="I51" s="7" t="n">
        <v>230</v>
      </c>
      <c r="J51" s="7" t="n">
        <v>245</v>
      </c>
      <c r="K51" s="11">
        <f>SUM(B51:J51)</f>
        <v/>
      </c>
      <c r="L51" s="11">
        <f>AVERAGE(B51:J51)</f>
        <v/>
      </c>
    </row>
    <row r="52">
      <c r="A52" s="2" t="inlineStr">
        <is>
          <t>הרצליה</t>
        </is>
      </c>
      <c r="B52" s="3" t="n">
        <v>894</v>
      </c>
      <c r="C52" s="3" t="n">
        <v>679</v>
      </c>
      <c r="D52" s="3" t="n">
        <v>2394</v>
      </c>
      <c r="E52" s="3" t="n">
        <v>2086</v>
      </c>
      <c r="F52" s="3" t="n">
        <v>468</v>
      </c>
      <c r="G52" s="3" t="n">
        <v>1220</v>
      </c>
      <c r="H52" s="3" t="n">
        <v>620</v>
      </c>
      <c r="I52" s="3" t="n">
        <v>511</v>
      </c>
      <c r="J52" s="3" t="n">
        <v>692</v>
      </c>
      <c r="K52" s="10">
        <f>SUM(B52:J52)</f>
        <v/>
      </c>
      <c r="L52" s="10">
        <f>AVERAGE(B52:J52)</f>
        <v/>
      </c>
    </row>
    <row r="53">
      <c r="A53" s="6" t="inlineStr">
        <is>
          <t>זכרון יעקב</t>
        </is>
      </c>
      <c r="B53" s="7" t="n">
        <v>133</v>
      </c>
      <c r="C53" s="7" t="n">
        <v>136</v>
      </c>
      <c r="D53" s="7" t="n">
        <v>124</v>
      </c>
      <c r="E53" s="7" t="n">
        <v>139</v>
      </c>
      <c r="F53" s="7" t="n">
        <v>151</v>
      </c>
      <c r="G53" s="7" t="n">
        <v>371</v>
      </c>
      <c r="H53" s="7" t="n">
        <v>81</v>
      </c>
      <c r="I53" s="7" t="n">
        <v>90</v>
      </c>
      <c r="J53" s="7" t="n">
        <v>81</v>
      </c>
      <c r="K53" s="11">
        <f>SUM(B53:J53)</f>
        <v/>
      </c>
      <c r="L53" s="11">
        <f>AVERAGE(B53:J53)</f>
        <v/>
      </c>
    </row>
    <row r="54">
      <c r="A54" s="2" t="inlineStr">
        <is>
          <t>זמר</t>
        </is>
      </c>
      <c r="B54" s="3" t="n">
        <v>41</v>
      </c>
      <c r="C54" s="3" t="n">
        <v>24</v>
      </c>
      <c r="D54" s="3" t="n">
        <v>19</v>
      </c>
      <c r="E54" s="3" t="n">
        <v>29</v>
      </c>
      <c r="F54" s="3" t="n">
        <v>15</v>
      </c>
      <c r="G54" s="3" t="n">
        <v>22</v>
      </c>
      <c r="H54" s="3" t="n">
        <v>34</v>
      </c>
      <c r="I54" s="3" t="n">
        <v>29</v>
      </c>
      <c r="J54" s="3" t="n">
        <v>48</v>
      </c>
      <c r="K54" s="10">
        <f>SUM(B54:J54)</f>
        <v/>
      </c>
      <c r="L54" s="10">
        <f>AVERAGE(B54:J54)</f>
        <v/>
      </c>
    </row>
    <row r="55">
      <c r="A55" s="6" t="inlineStr">
        <is>
          <t>זרזיר</t>
        </is>
      </c>
      <c r="B55" s="7" t="n">
        <v>14</v>
      </c>
      <c r="C55" s="7" t="n">
        <v>31</v>
      </c>
      <c r="D55" s="7" t="n">
        <v>28</v>
      </c>
      <c r="E55" s="7" t="n">
        <v>20</v>
      </c>
      <c r="F55" s="7" t="n">
        <v>15</v>
      </c>
      <c r="G55" s="7" t="n">
        <v>36</v>
      </c>
      <c r="H55" s="7" t="n">
        <v>18</v>
      </c>
      <c r="I55" s="7" t="n">
        <v>19</v>
      </c>
      <c r="J55" s="7" t="n">
        <v>16</v>
      </c>
      <c r="K55" s="11">
        <f>SUM(B55:J55)</f>
        <v/>
      </c>
      <c r="L55" s="11">
        <f>AVERAGE(B55:J55)</f>
        <v/>
      </c>
    </row>
    <row r="56">
      <c r="A56" s="2" t="inlineStr">
        <is>
          <t>חדרה</t>
        </is>
      </c>
      <c r="B56" s="3" t="n">
        <v>1274</v>
      </c>
      <c r="C56" s="3" t="n">
        <v>930</v>
      </c>
      <c r="D56" s="3" t="n">
        <v>565</v>
      </c>
      <c r="E56" s="3" t="n">
        <v>676</v>
      </c>
      <c r="F56" s="3" t="n">
        <v>344</v>
      </c>
      <c r="G56" s="3" t="n">
        <v>551</v>
      </c>
      <c r="H56" s="3" t="n">
        <v>1080</v>
      </c>
      <c r="I56" s="3" t="n">
        <v>361</v>
      </c>
      <c r="J56" s="3" t="n">
        <v>665</v>
      </c>
      <c r="K56" s="10">
        <f>SUM(B56:J56)</f>
        <v/>
      </c>
      <c r="L56" s="10">
        <f>AVERAGE(B56:J56)</f>
        <v/>
      </c>
    </row>
    <row r="57">
      <c r="A57" s="6" t="inlineStr">
        <is>
          <t>חולון</t>
        </is>
      </c>
      <c r="B57" s="7" t="n">
        <v>975</v>
      </c>
      <c r="C57" s="7" t="n">
        <v>788</v>
      </c>
      <c r="D57" s="7" t="n">
        <v>989</v>
      </c>
      <c r="E57" s="7" t="n">
        <v>823</v>
      </c>
      <c r="F57" s="7" t="n">
        <v>1453</v>
      </c>
      <c r="G57" s="7" t="n">
        <v>682</v>
      </c>
      <c r="H57" s="7" t="n">
        <v>521</v>
      </c>
      <c r="I57" s="7" t="n">
        <v>528</v>
      </c>
      <c r="J57" s="7" t="n">
        <v>587</v>
      </c>
      <c r="K57" s="11">
        <f>SUM(B57:J57)</f>
        <v/>
      </c>
      <c r="L57" s="11">
        <f>AVERAGE(B57:J57)</f>
        <v/>
      </c>
    </row>
    <row r="58">
      <c r="A58" s="2" t="inlineStr">
        <is>
          <t>חורה</t>
        </is>
      </c>
      <c r="B58" s="3" t="n">
        <v>119</v>
      </c>
      <c r="C58" s="3" t="n">
        <v>60</v>
      </c>
      <c r="D58" s="3" t="n">
        <v>30</v>
      </c>
      <c r="E58" s="3" t="n">
        <v>87</v>
      </c>
      <c r="F58" s="3" t="n">
        <v>114</v>
      </c>
      <c r="G58" s="3" t="n">
        <v>127</v>
      </c>
      <c r="H58" s="3" t="n">
        <v>131</v>
      </c>
      <c r="I58" s="3" t="n">
        <v>117</v>
      </c>
      <c r="J58" s="3" t="n">
        <v>118</v>
      </c>
      <c r="K58" s="10">
        <f>SUM(B58:J58)</f>
        <v/>
      </c>
      <c r="L58" s="10">
        <f>AVERAGE(B58:J58)</f>
        <v/>
      </c>
    </row>
    <row r="59">
      <c r="A59" s="6" t="inlineStr">
        <is>
          <t>חיפה</t>
        </is>
      </c>
      <c r="B59" s="7" t="n">
        <v>965</v>
      </c>
      <c r="C59" s="7" t="n">
        <v>2458</v>
      </c>
      <c r="D59" s="7" t="n">
        <v>647</v>
      </c>
      <c r="E59" s="7" t="n">
        <v>402</v>
      </c>
      <c r="F59" s="7" t="n">
        <v>351</v>
      </c>
      <c r="G59" s="7" t="n">
        <v>757</v>
      </c>
      <c r="H59" s="7" t="n">
        <v>1567</v>
      </c>
      <c r="I59" s="7" t="n">
        <v>1585</v>
      </c>
      <c r="J59" s="7" t="n">
        <v>2654</v>
      </c>
      <c r="K59" s="11">
        <f>SUM(B59:J59)</f>
        <v/>
      </c>
      <c r="L59" s="11">
        <f>AVERAGE(B59:J59)</f>
        <v/>
      </c>
    </row>
    <row r="60">
      <c r="A60" s="2" t="inlineStr">
        <is>
          <t>חצור הגלילית</t>
        </is>
      </c>
      <c r="B60" s="3" t="n">
        <v>78</v>
      </c>
      <c r="C60" s="3" t="n">
        <v>63</v>
      </c>
      <c r="D60" s="3" t="n">
        <v>32</v>
      </c>
      <c r="E60" s="3" t="n">
        <v>66</v>
      </c>
      <c r="F60" s="3" t="n">
        <v>122</v>
      </c>
      <c r="G60" s="3" t="n">
        <v>58</v>
      </c>
      <c r="H60" s="3" t="n">
        <v>4</v>
      </c>
      <c r="I60" s="3" t="n">
        <v>2</v>
      </c>
      <c r="J60" s="3" t="n">
        <v>51</v>
      </c>
      <c r="K60" s="10">
        <f>SUM(B60:J60)</f>
        <v/>
      </c>
      <c r="L60" s="10">
        <f>AVERAGE(B60:J60)</f>
        <v/>
      </c>
    </row>
    <row r="61">
      <c r="A61" s="6" t="inlineStr">
        <is>
          <t>חריש</t>
        </is>
      </c>
      <c r="B61" s="7" t="n">
        <v>1253</v>
      </c>
      <c r="C61" s="7" t="n">
        <v>2480</v>
      </c>
      <c r="D61" s="7" t="n">
        <v>767</v>
      </c>
      <c r="E61" s="7" t="n">
        <v>1711</v>
      </c>
      <c r="F61" s="7" t="n">
        <v>156</v>
      </c>
      <c r="G61" s="7" t="n">
        <v>326</v>
      </c>
      <c r="H61" s="7" t="n">
        <v>172</v>
      </c>
      <c r="I61" s="7" t="n">
        <v>1</v>
      </c>
      <c r="J61" s="7" t="n">
        <v>24</v>
      </c>
      <c r="K61" s="11">
        <f>SUM(B61:J61)</f>
        <v/>
      </c>
      <c r="L61" s="11">
        <f>AVERAGE(B61:J61)</f>
        <v/>
      </c>
    </row>
    <row r="62">
      <c r="A62" s="2" t="inlineStr">
        <is>
          <t>טבריה</t>
        </is>
      </c>
      <c r="B62" s="3" t="n">
        <v>515</v>
      </c>
      <c r="C62" s="3" t="n">
        <v>304</v>
      </c>
      <c r="D62" s="3" t="n">
        <v>185</v>
      </c>
      <c r="E62" s="3" t="n">
        <v>137</v>
      </c>
      <c r="F62" s="3" t="n">
        <v>232</v>
      </c>
      <c r="G62" s="3" t="n">
        <v>203</v>
      </c>
      <c r="H62" s="3" t="n">
        <v>462</v>
      </c>
      <c r="I62" s="3" t="n">
        <v>951</v>
      </c>
      <c r="J62" s="3" t="n">
        <v>906</v>
      </c>
      <c r="K62" s="10">
        <f>SUM(B62:J62)</f>
        <v/>
      </c>
      <c r="L62" s="10">
        <f>AVERAGE(B62:J62)</f>
        <v/>
      </c>
    </row>
    <row r="63">
      <c r="A63" s="6" t="inlineStr">
        <is>
          <t>טובא-זנגרייה</t>
        </is>
      </c>
      <c r="B63" s="7" t="n">
        <v>24</v>
      </c>
      <c r="C63" s="7" t="n">
        <v>21</v>
      </c>
      <c r="D63" s="7" t="n">
        <v>24</v>
      </c>
      <c r="E63" s="7" t="n">
        <v>14</v>
      </c>
      <c r="F63" s="7" t="n">
        <v>22</v>
      </c>
      <c r="G63" s="7" t="n">
        <v>4</v>
      </c>
      <c r="H63" s="7" t="n">
        <v>24</v>
      </c>
      <c r="I63" s="7" t="n">
        <v>15</v>
      </c>
      <c r="J63" s="7" t="n">
        <v>63</v>
      </c>
      <c r="K63" s="11">
        <f>SUM(B63:J63)</f>
        <v/>
      </c>
      <c r="L63" s="11">
        <f>AVERAGE(B63:J63)</f>
        <v/>
      </c>
    </row>
    <row r="64">
      <c r="A64" s="2" t="inlineStr">
        <is>
          <t>טורעאן</t>
        </is>
      </c>
      <c r="B64" s="3" t="n">
        <v>96</v>
      </c>
      <c r="C64" s="3" t="n">
        <v>68</v>
      </c>
      <c r="D64" s="3" t="n">
        <v>73</v>
      </c>
      <c r="E64" s="3" t="n">
        <v>90</v>
      </c>
      <c r="F64" s="3" t="n">
        <v>63</v>
      </c>
      <c r="G64" s="3" t="n">
        <v>30</v>
      </c>
      <c r="H64" s="3" t="n">
        <v>106</v>
      </c>
      <c r="I64" s="3" t="n">
        <v>144</v>
      </c>
      <c r="J64" s="3" t="n">
        <v>132</v>
      </c>
      <c r="K64" s="10">
        <f>SUM(B64:J64)</f>
        <v/>
      </c>
      <c r="L64" s="10">
        <f>AVERAGE(B64:J64)</f>
        <v/>
      </c>
    </row>
    <row r="65">
      <c r="A65" s="6" t="inlineStr">
        <is>
          <t>טייבה</t>
        </is>
      </c>
      <c r="B65" s="7" t="n">
        <v>128</v>
      </c>
      <c r="C65" s="7" t="n">
        <v>156</v>
      </c>
      <c r="D65" s="7" t="n">
        <v>56</v>
      </c>
      <c r="E65" s="7" t="n">
        <v>96</v>
      </c>
      <c r="F65" s="7" t="n">
        <v>75</v>
      </c>
      <c r="G65" s="7" t="n">
        <v>100</v>
      </c>
      <c r="H65" s="7" t="n">
        <v>77</v>
      </c>
      <c r="I65" s="7" t="n">
        <v>65</v>
      </c>
      <c r="J65" s="7" t="n">
        <v>60</v>
      </c>
      <c r="K65" s="11">
        <f>SUM(B65:J65)</f>
        <v/>
      </c>
      <c r="L65" s="11">
        <f>AVERAGE(B65:J65)</f>
        <v/>
      </c>
    </row>
    <row r="66">
      <c r="A66" s="2" t="inlineStr">
        <is>
          <t>טירה</t>
        </is>
      </c>
      <c r="B66" s="3" t="n">
        <v>81</v>
      </c>
      <c r="C66" s="3" t="n">
        <v>112</v>
      </c>
      <c r="D66" s="3" t="n">
        <v>140</v>
      </c>
      <c r="E66" s="3" t="n">
        <v>43</v>
      </c>
      <c r="F66" s="3" t="n">
        <v>57</v>
      </c>
      <c r="G66" s="3" t="n">
        <v>101</v>
      </c>
      <c r="H66" s="3" t="n">
        <v>120</v>
      </c>
      <c r="I66" s="3" t="n">
        <v>57</v>
      </c>
      <c r="J66" s="3" t="n">
        <v>65</v>
      </c>
      <c r="K66" s="10">
        <f>SUM(B66:J66)</f>
        <v/>
      </c>
      <c r="L66" s="10">
        <f>AVERAGE(B66:J66)</f>
        <v/>
      </c>
    </row>
    <row r="67">
      <c r="A67" s="6" t="inlineStr">
        <is>
          <t>טירת כרמל</t>
        </is>
      </c>
      <c r="B67" s="7" t="n">
        <v>690</v>
      </c>
      <c r="C67" s="7" t="n">
        <v>123</v>
      </c>
      <c r="D67" s="7" t="n">
        <v>1356</v>
      </c>
      <c r="E67" s="7" t="n">
        <v>362</v>
      </c>
      <c r="F67" s="7" t="n">
        <v>410</v>
      </c>
      <c r="G67" s="7" t="n">
        <v>376</v>
      </c>
      <c r="H67" s="7" t="n">
        <v>206</v>
      </c>
      <c r="I67" s="7" t="n">
        <v>5</v>
      </c>
      <c r="J67" s="7" t="n">
        <v>358</v>
      </c>
      <c r="K67" s="11">
        <f>SUM(B67:J67)</f>
        <v/>
      </c>
      <c r="L67" s="11">
        <f>AVERAGE(B67:J67)</f>
        <v/>
      </c>
    </row>
    <row r="68">
      <c r="A68" s="2" t="inlineStr">
        <is>
          <t>טמרה</t>
        </is>
      </c>
      <c r="B68" s="3" t="n">
        <v>83</v>
      </c>
      <c r="C68" s="3" t="n">
        <v>91</v>
      </c>
      <c r="D68" s="3" t="n">
        <v>117</v>
      </c>
      <c r="E68" s="3" t="n">
        <v>39</v>
      </c>
      <c r="F68" s="3" t="n">
        <v>31</v>
      </c>
      <c r="G68" s="3" t="n">
        <v>52</v>
      </c>
      <c r="H68" s="3" t="n">
        <v>46</v>
      </c>
      <c r="I68" s="3" t="n">
        <v>94</v>
      </c>
      <c r="J68" s="3" t="n">
        <v>67</v>
      </c>
      <c r="K68" s="10">
        <f>SUM(B68:J68)</f>
        <v/>
      </c>
      <c r="L68" s="10">
        <f>AVERAGE(B68:J68)</f>
        <v/>
      </c>
    </row>
    <row r="69">
      <c r="A69" s="6" t="inlineStr">
        <is>
          <t>יבנה</t>
        </is>
      </c>
      <c r="B69" s="7" t="n">
        <v>205</v>
      </c>
      <c r="C69" s="7" t="n">
        <v>668</v>
      </c>
      <c r="D69" s="7" t="n">
        <v>1220</v>
      </c>
      <c r="E69" s="7" t="n">
        <v>1201</v>
      </c>
      <c r="F69" s="7" t="n">
        <v>222</v>
      </c>
      <c r="G69" s="7" t="n">
        <v>324</v>
      </c>
      <c r="H69" s="7" t="n">
        <v>480</v>
      </c>
      <c r="I69" s="7" t="n">
        <v>345</v>
      </c>
      <c r="J69" s="7" t="n">
        <v>263</v>
      </c>
      <c r="K69" s="11">
        <f>SUM(B69:J69)</f>
        <v/>
      </c>
      <c r="L69" s="11">
        <f>AVERAGE(B69:J69)</f>
        <v/>
      </c>
    </row>
    <row r="70">
      <c r="A70" s="2" t="inlineStr">
        <is>
          <t>יהוד-מונוסון</t>
        </is>
      </c>
      <c r="B70" s="3" t="n">
        <v>321</v>
      </c>
      <c r="C70" s="3" t="n">
        <v>309</v>
      </c>
      <c r="D70" s="3" t="n">
        <v>376</v>
      </c>
      <c r="E70" s="3" t="n">
        <v>404</v>
      </c>
      <c r="F70" s="3" t="n">
        <v>9</v>
      </c>
      <c r="G70" s="3" t="n">
        <v>15</v>
      </c>
      <c r="H70" s="3" t="n">
        <v>126</v>
      </c>
      <c r="I70" s="3" t="n">
        <v>183</v>
      </c>
      <c r="J70" s="3" t="n">
        <v>784</v>
      </c>
      <c r="K70" s="10">
        <f>SUM(B70:J70)</f>
        <v/>
      </c>
      <c r="L70" s="10">
        <f>AVERAGE(B70:J70)</f>
        <v/>
      </c>
    </row>
    <row r="71">
      <c r="A71" s="6" t="inlineStr">
        <is>
          <t>יפיע</t>
        </is>
      </c>
      <c r="B71" s="7" t="n">
        <v>80</v>
      </c>
      <c r="C71" s="7" t="n">
        <v>69</v>
      </c>
      <c r="D71" s="7" t="n">
        <v>59</v>
      </c>
      <c r="E71" s="7" t="n">
        <v>64</v>
      </c>
      <c r="F71" s="7" t="n">
        <v>40</v>
      </c>
      <c r="G71" s="7" t="n">
        <v>103</v>
      </c>
      <c r="H71" s="7" t="n">
        <v>162</v>
      </c>
      <c r="I71" s="7" t="n">
        <v>131</v>
      </c>
      <c r="J71" s="7" t="n">
        <v>114</v>
      </c>
      <c r="K71" s="11">
        <f>SUM(B71:J71)</f>
        <v/>
      </c>
      <c r="L71" s="11">
        <f>AVERAGE(B71:J71)</f>
        <v/>
      </c>
    </row>
    <row r="72">
      <c r="A72" s="2" t="inlineStr">
        <is>
          <t>יקנעם עילית</t>
        </is>
      </c>
      <c r="B72" s="3" t="n">
        <v>410</v>
      </c>
      <c r="C72" s="3" t="n">
        <v>14</v>
      </c>
      <c r="D72" s="3" t="n">
        <v>0</v>
      </c>
      <c r="E72" s="3" t="n">
        <v>4</v>
      </c>
      <c r="F72" s="3" t="n">
        <v>521</v>
      </c>
      <c r="G72" s="3" t="n">
        <v>36</v>
      </c>
      <c r="H72" s="3" t="n">
        <v>271</v>
      </c>
      <c r="I72" s="3" t="n">
        <v>36</v>
      </c>
      <c r="J72" s="3" t="n">
        <v>78</v>
      </c>
      <c r="K72" s="10">
        <f>SUM(B72:J72)</f>
        <v/>
      </c>
      <c r="L72" s="10">
        <f>AVERAGE(B72:J72)</f>
        <v/>
      </c>
    </row>
    <row r="73">
      <c r="A73" s="6" t="inlineStr">
        <is>
          <t>ירוחם</t>
        </is>
      </c>
      <c r="B73" s="7" t="n">
        <v>75</v>
      </c>
      <c r="C73" s="7" t="n">
        <v>217</v>
      </c>
      <c r="D73" s="7" t="n">
        <v>31</v>
      </c>
      <c r="E73" s="7" t="n">
        <v>30</v>
      </c>
      <c r="F73" s="7" t="n">
        <v>82</v>
      </c>
      <c r="G73" s="7" t="n">
        <v>40</v>
      </c>
      <c r="H73" s="7" t="n">
        <v>46</v>
      </c>
      <c r="I73" s="7" t="n">
        <v>43</v>
      </c>
      <c r="J73" s="7" t="n">
        <v>43</v>
      </c>
      <c r="K73" s="11">
        <f>SUM(B73:J73)</f>
        <v/>
      </c>
      <c r="L73" s="11">
        <f>AVERAGE(B73:J73)</f>
        <v/>
      </c>
    </row>
    <row r="74">
      <c r="A74" s="2" t="inlineStr">
        <is>
          <t>ירושלים</t>
        </is>
      </c>
      <c r="B74" s="3" t="n">
        <v>2621</v>
      </c>
      <c r="C74" s="3" t="n">
        <v>2941</v>
      </c>
      <c r="D74" s="3" t="n">
        <v>3733</v>
      </c>
      <c r="E74" s="3" t="n">
        <v>2614</v>
      </c>
      <c r="F74" s="3" t="n">
        <v>2516</v>
      </c>
      <c r="G74" s="3" t="n">
        <v>3807</v>
      </c>
      <c r="H74" s="3" t="n">
        <v>7897</v>
      </c>
      <c r="I74" s="3" t="n">
        <v>8427</v>
      </c>
      <c r="J74" s="3" t="n">
        <v>8496</v>
      </c>
      <c r="K74" s="10">
        <f>SUM(B74:J74)</f>
        <v/>
      </c>
      <c r="L74" s="10">
        <f>AVERAGE(B74:J74)</f>
        <v/>
      </c>
    </row>
    <row r="75">
      <c r="A75" s="6" t="inlineStr">
        <is>
          <t>ירכא</t>
        </is>
      </c>
      <c r="B75" s="7" t="n">
        <v>28</v>
      </c>
      <c r="C75" s="7" t="n">
        <v>25</v>
      </c>
      <c r="D75" s="7" t="n">
        <v>21</v>
      </c>
      <c r="E75" s="7" t="n">
        <v>35</v>
      </c>
      <c r="F75" s="7" t="n">
        <v>66</v>
      </c>
      <c r="G75" s="7" t="n">
        <v>79</v>
      </c>
      <c r="H75" s="7" t="n">
        <v>51</v>
      </c>
      <c r="I75" s="7" t="n">
        <v>44</v>
      </c>
      <c r="J75" s="7" t="n">
        <v>25</v>
      </c>
      <c r="K75" s="11">
        <f>SUM(B75:J75)</f>
        <v/>
      </c>
      <c r="L75" s="11">
        <f>AVERAGE(B75:J75)</f>
        <v/>
      </c>
    </row>
    <row r="76">
      <c r="A76" s="2" t="inlineStr">
        <is>
          <t>כאבול</t>
        </is>
      </c>
      <c r="B76" s="3" t="n">
        <v>26</v>
      </c>
      <c r="C76" s="3" t="n">
        <v>70</v>
      </c>
      <c r="D76" s="3" t="n">
        <v>51</v>
      </c>
      <c r="E76" s="3" t="n">
        <v>18</v>
      </c>
      <c r="F76" s="3" t="n">
        <v>13</v>
      </c>
      <c r="G76" s="3" t="n">
        <v>55</v>
      </c>
      <c r="H76" s="3" t="n">
        <v>29</v>
      </c>
      <c r="I76" s="3" t="n">
        <v>57</v>
      </c>
      <c r="J76" s="3" t="n">
        <v>47</v>
      </c>
      <c r="K76" s="10">
        <f>SUM(B76:J76)</f>
        <v/>
      </c>
      <c r="L76" s="10">
        <f>AVERAGE(B76:J76)</f>
        <v/>
      </c>
    </row>
    <row r="77">
      <c r="A77" s="6" t="inlineStr">
        <is>
          <t>כוכב יאיר</t>
        </is>
      </c>
      <c r="B77" s="7" t="n">
        <v>5</v>
      </c>
      <c r="C77" s="7" t="n">
        <v>2</v>
      </c>
      <c r="D77" s="7" t="n">
        <v>14</v>
      </c>
      <c r="E77" s="7" t="n">
        <v>116</v>
      </c>
      <c r="F77" s="7" t="n">
        <v>19</v>
      </c>
      <c r="G77" s="7" t="n">
        <v>41</v>
      </c>
      <c r="H77" s="7" t="n">
        <v>10</v>
      </c>
      <c r="I77" s="7" t="n">
        <v>9</v>
      </c>
      <c r="J77" s="7" t="n">
        <v>3</v>
      </c>
      <c r="K77" s="11">
        <f>SUM(B77:J77)</f>
        <v/>
      </c>
      <c r="L77" s="11">
        <f>AVERAGE(B77:J77)</f>
        <v/>
      </c>
    </row>
    <row r="78">
      <c r="A78" s="2" t="inlineStr">
        <is>
          <t>כוכב יעקב</t>
        </is>
      </c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10">
        <f>SUM(B78:J78)</f>
        <v/>
      </c>
      <c r="L78" s="10">
        <f>AVERAGE(B78:J78)</f>
        <v/>
      </c>
    </row>
    <row r="79">
      <c r="A79" s="6" t="inlineStr">
        <is>
          <t>כסיפה</t>
        </is>
      </c>
      <c r="B79" s="7" t="n">
        <v>33</v>
      </c>
      <c r="C79" s="7" t="n">
        <v>20</v>
      </c>
      <c r="D79" s="7" t="n">
        <v>32</v>
      </c>
      <c r="E79" s="7" t="n">
        <v>57</v>
      </c>
      <c r="F79" s="7" t="n">
        <v>69</v>
      </c>
      <c r="G79" s="7" t="n">
        <v>70</v>
      </c>
      <c r="H79" s="7" t="n">
        <v>121</v>
      </c>
      <c r="I79" s="7" t="n">
        <v>88</v>
      </c>
      <c r="J79" s="7" t="n">
        <v>73</v>
      </c>
      <c r="K79" s="11">
        <f>SUM(B79:J79)</f>
        <v/>
      </c>
      <c r="L79" s="11">
        <f>AVERAGE(B79:J79)</f>
        <v/>
      </c>
    </row>
    <row r="80">
      <c r="A80" s="2" t="inlineStr">
        <is>
          <t>כסרא-סמיע</t>
        </is>
      </c>
      <c r="B80" s="3" t="n">
        <v>34</v>
      </c>
      <c r="C80" s="3" t="n">
        <v>20</v>
      </c>
      <c r="D80" s="3" t="n">
        <v>43</v>
      </c>
      <c r="E80" s="3" t="n">
        <v>26</v>
      </c>
      <c r="F80" s="3" t="n">
        <v>40</v>
      </c>
      <c r="G80" s="3" t="n">
        <v>47</v>
      </c>
      <c r="H80" s="3" t="n">
        <v>45</v>
      </c>
      <c r="I80" s="3" t="n">
        <v>82</v>
      </c>
      <c r="J80" s="3" t="n">
        <v>55</v>
      </c>
      <c r="K80" s="10">
        <f>SUM(B80:J80)</f>
        <v/>
      </c>
      <c r="L80" s="10">
        <f>AVERAGE(B80:J80)</f>
        <v/>
      </c>
    </row>
    <row r="81">
      <c r="A81" s="6" t="inlineStr">
        <is>
          <t>כפר יאסיף</t>
        </is>
      </c>
      <c r="B81" s="7" t="n">
        <v>57</v>
      </c>
      <c r="C81" s="7" t="n">
        <v>41</v>
      </c>
      <c r="D81" s="7" t="n">
        <v>27</v>
      </c>
      <c r="E81" s="7" t="n">
        <v>31</v>
      </c>
      <c r="F81" s="7" t="n">
        <v>28</v>
      </c>
      <c r="G81" s="7" t="n">
        <v>31</v>
      </c>
      <c r="H81" s="7" t="n">
        <v>74</v>
      </c>
      <c r="I81" s="7" t="n">
        <v>65</v>
      </c>
      <c r="J81" s="7" t="n">
        <v>93</v>
      </c>
      <c r="K81" s="11">
        <f>SUM(B81:J81)</f>
        <v/>
      </c>
      <c r="L81" s="11">
        <f>AVERAGE(B81:J81)</f>
        <v/>
      </c>
    </row>
    <row r="82">
      <c r="A82" s="2" t="inlineStr">
        <is>
          <t>כפר יונה</t>
        </is>
      </c>
      <c r="B82" s="3" t="n">
        <v>737</v>
      </c>
      <c r="C82" s="3" t="n">
        <v>594</v>
      </c>
      <c r="D82" s="3" t="n">
        <v>403</v>
      </c>
      <c r="E82" s="3" t="n">
        <v>519</v>
      </c>
      <c r="F82" s="3" t="n">
        <v>70</v>
      </c>
      <c r="G82" s="3" t="n">
        <v>80</v>
      </c>
      <c r="H82" s="3" t="n">
        <v>277</v>
      </c>
      <c r="I82" s="3" t="n">
        <v>38</v>
      </c>
      <c r="J82" s="3" t="n">
        <v>183</v>
      </c>
      <c r="K82" s="10">
        <f>SUM(B82:J82)</f>
        <v/>
      </c>
      <c r="L82" s="10">
        <f>AVERAGE(B82:J82)</f>
        <v/>
      </c>
    </row>
    <row r="83">
      <c r="A83" s="6" t="inlineStr">
        <is>
          <t>כפר כנא</t>
        </is>
      </c>
      <c r="B83" s="7" t="n">
        <v>117</v>
      </c>
      <c r="C83" s="7" t="n">
        <v>91</v>
      </c>
      <c r="D83" s="7" t="n">
        <v>99</v>
      </c>
      <c r="E83" s="7" t="n">
        <v>103</v>
      </c>
      <c r="F83" s="7" t="n">
        <v>89</v>
      </c>
      <c r="G83" s="7" t="n">
        <v>127</v>
      </c>
      <c r="H83" s="7" t="n">
        <v>108</v>
      </c>
      <c r="I83" s="7" t="n">
        <v>186</v>
      </c>
      <c r="J83" s="7" t="n">
        <v>195</v>
      </c>
      <c r="K83" s="11">
        <f>SUM(B83:J83)</f>
        <v/>
      </c>
      <c r="L83" s="11">
        <f>AVERAGE(B83:J83)</f>
        <v/>
      </c>
    </row>
    <row r="84">
      <c r="A84" s="2" t="inlineStr">
        <is>
          <t>כפר מנדא</t>
        </is>
      </c>
      <c r="B84" s="3" t="n">
        <v>135</v>
      </c>
      <c r="C84" s="3" t="n">
        <v>146</v>
      </c>
      <c r="D84" s="3" t="n">
        <v>38</v>
      </c>
      <c r="E84" s="3" t="n">
        <v>16</v>
      </c>
      <c r="F84" s="3" t="n">
        <v>28</v>
      </c>
      <c r="G84" s="3" t="n">
        <v>52</v>
      </c>
      <c r="H84" s="3" t="n">
        <v>138</v>
      </c>
      <c r="I84" s="3" t="n">
        <v>319</v>
      </c>
      <c r="J84" s="3" t="n">
        <v>110</v>
      </c>
      <c r="K84" s="10">
        <f>SUM(B84:J84)</f>
        <v/>
      </c>
      <c r="L84" s="10">
        <f>AVERAGE(B84:J84)</f>
        <v/>
      </c>
    </row>
    <row r="85">
      <c r="A85" s="6" t="inlineStr">
        <is>
          <t>כפר סבא</t>
        </is>
      </c>
      <c r="B85" s="7" t="n">
        <v>556</v>
      </c>
      <c r="C85" s="7" t="n">
        <v>327</v>
      </c>
      <c r="D85" s="7" t="n">
        <v>338</v>
      </c>
      <c r="E85" s="7" t="n">
        <v>114</v>
      </c>
      <c r="F85" s="7" t="n">
        <v>176</v>
      </c>
      <c r="G85" s="7" t="n">
        <v>450</v>
      </c>
      <c r="H85" s="7" t="n">
        <v>249</v>
      </c>
      <c r="I85" s="7" t="n">
        <v>531</v>
      </c>
      <c r="J85" s="7" t="n">
        <v>259</v>
      </c>
      <c r="K85" s="11">
        <f>SUM(B85:J85)</f>
        <v/>
      </c>
      <c r="L85" s="11">
        <f>AVERAGE(B85:J85)</f>
        <v/>
      </c>
    </row>
    <row r="86">
      <c r="A86" s="2" t="inlineStr">
        <is>
          <t>כפר קאסם</t>
        </is>
      </c>
      <c r="B86" s="3" t="n">
        <v>81</v>
      </c>
      <c r="C86" s="3" t="n">
        <v>94</v>
      </c>
      <c r="D86" s="3" t="n">
        <v>49</v>
      </c>
      <c r="E86" s="3" t="n">
        <v>59</v>
      </c>
      <c r="F86" s="3" t="n">
        <v>80</v>
      </c>
      <c r="G86" s="3" t="n">
        <v>62</v>
      </c>
      <c r="H86" s="3" t="n">
        <v>114</v>
      </c>
      <c r="I86" s="3" t="n">
        <v>58</v>
      </c>
      <c r="J86" s="3" t="n">
        <v>94</v>
      </c>
      <c r="K86" s="10">
        <f>SUM(B86:J86)</f>
        <v/>
      </c>
      <c r="L86" s="10">
        <f>AVERAGE(B86:J86)</f>
        <v/>
      </c>
    </row>
    <row r="87">
      <c r="A87" s="6" t="inlineStr">
        <is>
          <t>כפר קרע</t>
        </is>
      </c>
      <c r="B87" s="7" t="n">
        <v>47</v>
      </c>
      <c r="C87" s="7" t="n">
        <v>3</v>
      </c>
      <c r="D87" s="7" t="n">
        <v>21</v>
      </c>
      <c r="E87" s="7" t="n">
        <v>15</v>
      </c>
      <c r="F87" s="7" t="n">
        <v>22</v>
      </c>
      <c r="G87" s="7" t="n">
        <v>17</v>
      </c>
      <c r="H87" s="7" t="n">
        <v>38</v>
      </c>
      <c r="I87" s="7" t="n">
        <v>70</v>
      </c>
      <c r="J87" s="7" t="n">
        <v>51</v>
      </c>
      <c r="K87" s="11">
        <f>SUM(B87:J87)</f>
        <v/>
      </c>
      <c r="L87" s="11">
        <f>AVERAGE(B87:J87)</f>
        <v/>
      </c>
    </row>
    <row r="88">
      <c r="A88" s="2" t="inlineStr">
        <is>
          <t>כרמיאל</t>
        </is>
      </c>
      <c r="B88" s="3" t="n">
        <v>128</v>
      </c>
      <c r="C88" s="3" t="n">
        <v>66</v>
      </c>
      <c r="D88" s="3" t="n">
        <v>235</v>
      </c>
      <c r="E88" s="3" t="n">
        <v>272</v>
      </c>
      <c r="F88" s="3" t="n">
        <v>238</v>
      </c>
      <c r="G88" s="3" t="n">
        <v>19</v>
      </c>
      <c r="H88" s="3" t="n">
        <v>421</v>
      </c>
      <c r="I88" s="3" t="n">
        <v>291</v>
      </c>
      <c r="J88" s="3" t="n">
        <v>14</v>
      </c>
      <c r="K88" s="10">
        <f>SUM(B88:J88)</f>
        <v/>
      </c>
      <c r="L88" s="10">
        <f>AVERAGE(B88:J88)</f>
        <v/>
      </c>
    </row>
    <row r="89">
      <c r="A89" s="6" t="inlineStr">
        <is>
          <t>להבים</t>
        </is>
      </c>
      <c r="B89" s="7" t="n">
        <v>4</v>
      </c>
      <c r="C89" s="7" t="n">
        <v>382</v>
      </c>
      <c r="D89" s="7" t="n">
        <v>68</v>
      </c>
      <c r="E89" s="7" t="n">
        <v>72</v>
      </c>
      <c r="F89" s="7" t="n">
        <v>84</v>
      </c>
      <c r="G89" s="7" t="n">
        <v>77</v>
      </c>
      <c r="H89" s="7" t="n">
        <v>60</v>
      </c>
      <c r="I89" s="7" t="n">
        <v>30</v>
      </c>
      <c r="J89" s="7" t="n">
        <v>23</v>
      </c>
      <c r="K89" s="11">
        <f>SUM(B89:J89)</f>
        <v/>
      </c>
      <c r="L89" s="11">
        <f>AVERAGE(B89:J89)</f>
        <v/>
      </c>
    </row>
    <row r="90">
      <c r="A90" s="2" t="inlineStr">
        <is>
          <t>לוד</t>
        </is>
      </c>
      <c r="B90" s="3" t="n">
        <v>1502</v>
      </c>
      <c r="C90" s="3" t="n">
        <v>629</v>
      </c>
      <c r="D90" s="3" t="n">
        <v>405</v>
      </c>
      <c r="E90" s="3" t="n">
        <v>400</v>
      </c>
      <c r="F90" s="3" t="n">
        <v>516</v>
      </c>
      <c r="G90" s="3" t="n">
        <v>146</v>
      </c>
      <c r="H90" s="3" t="n">
        <v>2148</v>
      </c>
      <c r="I90" s="3" t="n">
        <v>3147</v>
      </c>
      <c r="J90" s="3" t="n">
        <v>1376</v>
      </c>
      <c r="K90" s="10">
        <f>SUM(B90:J90)</f>
        <v/>
      </c>
      <c r="L90" s="10">
        <f>AVERAGE(B90:J90)</f>
        <v/>
      </c>
    </row>
    <row r="91">
      <c r="A91" s="6" t="inlineStr">
        <is>
          <t>לקיה</t>
        </is>
      </c>
      <c r="B91" s="7" t="n">
        <v>39</v>
      </c>
      <c r="C91" s="7" t="n">
        <v>25</v>
      </c>
      <c r="D91" s="7" t="n">
        <v>23</v>
      </c>
      <c r="E91" s="7" t="n">
        <v>22</v>
      </c>
      <c r="F91" s="7" t="n">
        <v>44</v>
      </c>
      <c r="G91" s="7" t="n">
        <v>31</v>
      </c>
      <c r="H91" s="7" t="n">
        <v>38</v>
      </c>
      <c r="I91" s="7" t="n">
        <v>69</v>
      </c>
      <c r="J91" s="7" t="n">
        <v>57</v>
      </c>
      <c r="K91" s="11">
        <f>SUM(B91:J91)</f>
        <v/>
      </c>
      <c r="L91" s="11">
        <f>AVERAGE(B91:J91)</f>
        <v/>
      </c>
    </row>
    <row r="92">
      <c r="A92" s="2" t="inlineStr">
        <is>
          <t>מבשרת ציון</t>
        </is>
      </c>
      <c r="B92" s="3" t="n">
        <v>18</v>
      </c>
      <c r="C92" s="3" t="n">
        <v>29</v>
      </c>
      <c r="D92" s="3" t="n">
        <v>307</v>
      </c>
      <c r="E92" s="3" t="n">
        <v>57</v>
      </c>
      <c r="F92" s="3" t="n">
        <v>49</v>
      </c>
      <c r="G92" s="3" t="n">
        <v>749</v>
      </c>
      <c r="H92" s="3" t="n">
        <v>217</v>
      </c>
      <c r="I92" s="3" t="n">
        <v>49</v>
      </c>
      <c r="J92" s="3" t="n">
        <v>30</v>
      </c>
      <c r="K92" s="10">
        <f>SUM(B92:J92)</f>
        <v/>
      </c>
      <c r="L92" s="10">
        <f>AVERAGE(B92:J92)</f>
        <v/>
      </c>
    </row>
    <row r="93">
      <c r="A93" s="6" t="inlineStr">
        <is>
          <t>מג'ד אל-כרום</t>
        </is>
      </c>
      <c r="B93" s="7" t="n">
        <v>7</v>
      </c>
      <c r="C93" s="7" t="n">
        <v>5</v>
      </c>
      <c r="D93" s="7" t="n">
        <v>4</v>
      </c>
      <c r="E93" s="7" t="n">
        <v>3</v>
      </c>
      <c r="F93" s="7" t="n">
        <v>24</v>
      </c>
      <c r="G93" s="7" t="n">
        <v>28</v>
      </c>
      <c r="H93" s="7" t="n">
        <v>82</v>
      </c>
      <c r="I93" s="7" t="n">
        <v>98</v>
      </c>
      <c r="J93" s="7" t="n">
        <v>98</v>
      </c>
      <c r="K93" s="11">
        <f>SUM(B93:J93)</f>
        <v/>
      </c>
      <c r="L93" s="11">
        <f>AVERAGE(B93:J93)</f>
        <v/>
      </c>
    </row>
    <row r="94">
      <c r="A94" s="2" t="inlineStr">
        <is>
          <t>מג'דל שמס</t>
        </is>
      </c>
      <c r="B94" s="3" t="n">
        <v>71</v>
      </c>
      <c r="C94" s="3" t="n">
        <v>62</v>
      </c>
      <c r="D94" s="3" t="n">
        <v>37</v>
      </c>
      <c r="E94" s="3" t="n">
        <v>35</v>
      </c>
      <c r="F94" s="3" t="n">
        <v>70</v>
      </c>
      <c r="G94" s="3" t="n">
        <v>47</v>
      </c>
      <c r="H94" s="3" t="n">
        <v>52</v>
      </c>
      <c r="I94" s="3" t="n">
        <v>52</v>
      </c>
      <c r="J94" s="3" t="n">
        <v>127</v>
      </c>
      <c r="K94" s="10">
        <f>SUM(B94:J94)</f>
        <v/>
      </c>
      <c r="L94" s="10">
        <f>AVERAGE(B94:J94)</f>
        <v/>
      </c>
    </row>
    <row r="95">
      <c r="A95" s="6" t="inlineStr">
        <is>
          <t>מגאר</t>
        </is>
      </c>
      <c r="B95" s="7" t="n">
        <v>56</v>
      </c>
      <c r="C95" s="7" t="n">
        <v>35</v>
      </c>
      <c r="D95" s="7" t="n">
        <v>70</v>
      </c>
      <c r="E95" s="7" t="n">
        <v>65</v>
      </c>
      <c r="F95" s="7" t="n">
        <v>50</v>
      </c>
      <c r="G95" s="7" t="n">
        <v>31</v>
      </c>
      <c r="H95" s="7" t="n">
        <v>84</v>
      </c>
      <c r="I95" s="7" t="n">
        <v>62</v>
      </c>
      <c r="J95" s="7" t="n">
        <v>90</v>
      </c>
      <c r="K95" s="11">
        <f>SUM(B95:J95)</f>
        <v/>
      </c>
      <c r="L95" s="11">
        <f>AVERAGE(B95:J95)</f>
        <v/>
      </c>
    </row>
    <row r="96">
      <c r="A96" s="2" t="inlineStr">
        <is>
          <t>מגדל העמק</t>
        </is>
      </c>
      <c r="B96" s="3" t="n">
        <v>4</v>
      </c>
      <c r="C96" s="3" t="n">
        <v>274</v>
      </c>
      <c r="D96" s="3" t="n">
        <v>479</v>
      </c>
      <c r="E96" s="3" t="n">
        <v>49</v>
      </c>
      <c r="F96" s="3" t="n">
        <v>35</v>
      </c>
      <c r="G96" s="3" t="n">
        <v>261</v>
      </c>
      <c r="H96" s="3" t="n">
        <v>422</v>
      </c>
      <c r="I96" s="3" t="n">
        <v>125</v>
      </c>
      <c r="J96" s="3" t="n">
        <v>387</v>
      </c>
      <c r="K96" s="10">
        <f>SUM(B96:J96)</f>
        <v/>
      </c>
      <c r="L96" s="10">
        <f>AVERAGE(B96:J96)</f>
        <v/>
      </c>
    </row>
    <row r="97">
      <c r="A97" s="6" t="inlineStr">
        <is>
          <t>מודיעין עילית</t>
        </is>
      </c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11">
        <f>SUM(B97:J97)</f>
        <v/>
      </c>
      <c r="L97" s="11">
        <f>AVERAGE(B97:J97)</f>
        <v/>
      </c>
    </row>
    <row r="98">
      <c r="A98" s="2" t="inlineStr">
        <is>
          <t>מודיעין-מכבים-רעות</t>
        </is>
      </c>
      <c r="B98" s="3" t="n">
        <v>388</v>
      </c>
      <c r="C98" s="3" t="n">
        <v>1433</v>
      </c>
      <c r="D98" s="3" t="n">
        <v>515</v>
      </c>
      <c r="E98" s="3" t="n">
        <v>533</v>
      </c>
      <c r="F98" s="3" t="n">
        <v>1991</v>
      </c>
      <c r="G98" s="3" t="n">
        <v>1102</v>
      </c>
      <c r="H98" s="3" t="n">
        <v>490</v>
      </c>
      <c r="I98" s="3" t="n">
        <v>140</v>
      </c>
      <c r="J98" s="3" t="n">
        <v>3</v>
      </c>
      <c r="K98" s="10">
        <f>SUM(B98:J98)</f>
        <v/>
      </c>
      <c r="L98" s="10">
        <f>AVERAGE(B98:J98)</f>
        <v/>
      </c>
    </row>
    <row r="99">
      <c r="A99" s="6" t="inlineStr">
        <is>
          <t>מזכרת בתיה</t>
        </is>
      </c>
      <c r="B99" s="7" t="n">
        <v>114</v>
      </c>
      <c r="C99" s="7" t="n">
        <v>76</v>
      </c>
      <c r="D99" s="7" t="n">
        <v>91</v>
      </c>
      <c r="E99" s="7" t="n">
        <v>120</v>
      </c>
      <c r="F99" s="7" t="n">
        <v>62</v>
      </c>
      <c r="G99" s="7" t="n">
        <v>90</v>
      </c>
      <c r="H99" s="7" t="n">
        <v>22</v>
      </c>
      <c r="I99" s="7" t="n">
        <v>121</v>
      </c>
      <c r="J99" s="7" t="n">
        <v>47</v>
      </c>
      <c r="K99" s="11">
        <f>SUM(B99:J99)</f>
        <v/>
      </c>
      <c r="L99" s="11">
        <f>AVERAGE(B99:J99)</f>
        <v/>
      </c>
    </row>
    <row r="100">
      <c r="A100" s="2" t="inlineStr">
        <is>
          <t>מיתר</t>
        </is>
      </c>
      <c r="B100" s="3" t="n">
        <v>125</v>
      </c>
      <c r="C100" s="3" t="n">
        <v>301</v>
      </c>
      <c r="D100" s="3" t="n">
        <v>95</v>
      </c>
      <c r="E100" s="3" t="n">
        <v>63</v>
      </c>
      <c r="F100" s="3" t="n">
        <v>55</v>
      </c>
      <c r="G100" s="3" t="n">
        <v>113</v>
      </c>
      <c r="H100" s="3" t="n">
        <v>44</v>
      </c>
      <c r="I100" s="3" t="n">
        <v>65</v>
      </c>
      <c r="J100" s="3" t="n">
        <v>55</v>
      </c>
      <c r="K100" s="10">
        <f>SUM(B100:J100)</f>
        <v/>
      </c>
      <c r="L100" s="10">
        <f>AVERAGE(B100:J100)</f>
        <v/>
      </c>
    </row>
    <row r="101">
      <c r="A101" s="6" t="inlineStr">
        <is>
          <t>מכבים רעות</t>
        </is>
      </c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11">
        <f>SUM(B101:J101)</f>
        <v/>
      </c>
      <c r="L101" s="11">
        <f>AVERAGE(B101:J101)</f>
        <v/>
      </c>
    </row>
    <row r="102">
      <c r="A102" s="2" t="inlineStr">
        <is>
          <t>מעלה אדומים</t>
        </is>
      </c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10">
        <f>SUM(B102:J102)</f>
        <v/>
      </c>
      <c r="L102" s="10">
        <f>AVERAGE(B102:J102)</f>
        <v/>
      </c>
    </row>
    <row r="103">
      <c r="A103" s="6" t="inlineStr">
        <is>
          <t>מעלה עירון</t>
        </is>
      </c>
      <c r="B103" s="7" t="n">
        <v>22</v>
      </c>
      <c r="C103" s="7" t="n">
        <v>5</v>
      </c>
      <c r="D103" s="7" t="n">
        <v>37</v>
      </c>
      <c r="E103" s="7" t="n">
        <v>10</v>
      </c>
      <c r="F103" s="7" t="n">
        <v>32</v>
      </c>
      <c r="G103" s="7" t="n">
        <v>43</v>
      </c>
      <c r="H103" s="7" t="n">
        <v>53</v>
      </c>
      <c r="I103" s="7" t="n">
        <v>89</v>
      </c>
      <c r="J103" s="7" t="n">
        <v>87</v>
      </c>
      <c r="K103" s="11">
        <f>SUM(B103:J103)</f>
        <v/>
      </c>
      <c r="L103" s="11">
        <f>AVERAGE(B103:J103)</f>
        <v/>
      </c>
    </row>
    <row r="104">
      <c r="A104" s="2" t="inlineStr">
        <is>
          <t>מעלות-תרשיחא</t>
        </is>
      </c>
      <c r="B104" s="3" t="n">
        <v>115</v>
      </c>
      <c r="C104" s="3" t="n">
        <v>75</v>
      </c>
      <c r="D104" s="3" t="n">
        <v>16</v>
      </c>
      <c r="E104" s="3" t="n">
        <v>101</v>
      </c>
      <c r="F104" s="3" t="n">
        <v>293</v>
      </c>
      <c r="G104" s="3" t="n">
        <v>37</v>
      </c>
      <c r="H104" s="3" t="n">
        <v>18</v>
      </c>
      <c r="I104" s="3" t="n">
        <v>114</v>
      </c>
      <c r="J104" s="3" t="n">
        <v>28</v>
      </c>
      <c r="K104" s="10">
        <f>SUM(B104:J104)</f>
        <v/>
      </c>
      <c r="L104" s="10">
        <f>AVERAGE(B104:J104)</f>
        <v/>
      </c>
    </row>
    <row r="105">
      <c r="A105" s="6" t="inlineStr">
        <is>
          <t>משהד</t>
        </is>
      </c>
      <c r="B105" s="7" t="n">
        <v>44</v>
      </c>
      <c r="C105" s="7" t="n">
        <v>40</v>
      </c>
      <c r="D105" s="7" t="n">
        <v>30</v>
      </c>
      <c r="E105" s="7" t="n">
        <v>37</v>
      </c>
      <c r="F105" s="7" t="n">
        <v>70</v>
      </c>
      <c r="G105" s="7" t="n">
        <v>51</v>
      </c>
      <c r="H105" s="7" t="n">
        <v>81</v>
      </c>
      <c r="I105" s="7" t="n">
        <v>47</v>
      </c>
      <c r="J105" s="7" t="n">
        <v>58</v>
      </c>
      <c r="K105" s="11">
        <f>SUM(B105:J105)</f>
        <v/>
      </c>
      <c r="L105" s="11">
        <f>AVERAGE(B105:J105)</f>
        <v/>
      </c>
    </row>
    <row r="106">
      <c r="A106" s="2" t="inlineStr">
        <is>
          <t>נהרייה</t>
        </is>
      </c>
      <c r="B106" s="3" t="n">
        <v>1044</v>
      </c>
      <c r="C106" s="3" t="n">
        <v>286</v>
      </c>
      <c r="D106" s="3" t="n">
        <v>686</v>
      </c>
      <c r="E106" s="3" t="n">
        <v>720</v>
      </c>
      <c r="F106" s="3" t="n">
        <v>601</v>
      </c>
      <c r="G106" s="3" t="n">
        <v>1686</v>
      </c>
      <c r="H106" s="3" t="n">
        <v>418</v>
      </c>
      <c r="I106" s="3" t="n">
        <v>815</v>
      </c>
      <c r="J106" s="3" t="n">
        <v>420</v>
      </c>
      <c r="K106" s="10">
        <f>SUM(B106:J106)</f>
        <v/>
      </c>
      <c r="L106" s="10">
        <f>AVERAGE(B106:J106)</f>
        <v/>
      </c>
    </row>
    <row r="107">
      <c r="A107" s="6" t="inlineStr">
        <is>
          <t>נוף הגליל</t>
        </is>
      </c>
      <c r="B107" s="7" t="n">
        <v>74</v>
      </c>
      <c r="C107" s="7" t="n">
        <v>4</v>
      </c>
      <c r="D107" s="7" t="n">
        <v>220</v>
      </c>
      <c r="E107" s="7" t="n">
        <v>166</v>
      </c>
      <c r="F107" s="7" t="n">
        <v>253</v>
      </c>
      <c r="G107" s="7" t="n">
        <v>677</v>
      </c>
      <c r="H107" s="7" t="n">
        <v>67</v>
      </c>
      <c r="I107" s="7" t="n">
        <v>276</v>
      </c>
      <c r="J107" s="7" t="n">
        <v>1149</v>
      </c>
      <c r="K107" s="11">
        <f>SUM(B107:J107)</f>
        <v/>
      </c>
      <c r="L107" s="11">
        <f>AVERAGE(B107:J107)</f>
        <v/>
      </c>
    </row>
    <row r="108">
      <c r="A108" s="2" t="inlineStr">
        <is>
          <t>נחף</t>
        </is>
      </c>
      <c r="B108" s="3" t="n">
        <v>23</v>
      </c>
      <c r="C108" s="3" t="n">
        <v>26</v>
      </c>
      <c r="D108" s="3" t="n">
        <v>12</v>
      </c>
      <c r="E108" s="3" t="n">
        <v>17</v>
      </c>
      <c r="F108" s="3" t="n">
        <v>99</v>
      </c>
      <c r="G108" s="3" t="n">
        <v>34</v>
      </c>
      <c r="H108" s="3" t="n">
        <v>81</v>
      </c>
      <c r="I108" s="3" t="n">
        <v>36</v>
      </c>
      <c r="J108" s="3" t="n">
        <v>52</v>
      </c>
      <c r="K108" s="10">
        <f>SUM(B108:J108)</f>
        <v/>
      </c>
      <c r="L108" s="10">
        <f>AVERAGE(B108:J108)</f>
        <v/>
      </c>
    </row>
    <row r="109">
      <c r="A109" s="6" t="inlineStr">
        <is>
          <t>נס ציונה</t>
        </is>
      </c>
      <c r="B109" s="7" t="n">
        <v>202</v>
      </c>
      <c r="C109" s="7" t="n">
        <v>82</v>
      </c>
      <c r="D109" s="7" t="n">
        <v>117</v>
      </c>
      <c r="E109" s="7" t="n">
        <v>149</v>
      </c>
      <c r="F109" s="7" t="n">
        <v>131</v>
      </c>
      <c r="G109" s="7" t="n">
        <v>45</v>
      </c>
      <c r="H109" s="7" t="n">
        <v>313</v>
      </c>
      <c r="I109" s="7" t="n">
        <v>120</v>
      </c>
      <c r="J109" s="7" t="n">
        <v>315</v>
      </c>
      <c r="K109" s="11">
        <f>SUM(B109:J109)</f>
        <v/>
      </c>
      <c r="L109" s="11">
        <f>AVERAGE(B109:J109)</f>
        <v/>
      </c>
    </row>
    <row r="110">
      <c r="A110" s="2" t="inlineStr">
        <is>
          <t>נצרת</t>
        </is>
      </c>
      <c r="B110" s="3" t="n">
        <v>192</v>
      </c>
      <c r="C110" s="3" t="n">
        <v>311</v>
      </c>
      <c r="D110" s="3" t="n">
        <v>90</v>
      </c>
      <c r="E110" s="3" t="n">
        <v>50</v>
      </c>
      <c r="F110" s="3" t="n">
        <v>27</v>
      </c>
      <c r="G110" s="3" t="n">
        <v>307</v>
      </c>
      <c r="H110" s="3" t="n">
        <v>425</v>
      </c>
      <c r="I110" s="3" t="n">
        <v>364</v>
      </c>
      <c r="J110" s="3" t="n">
        <v>132</v>
      </c>
      <c r="K110" s="10">
        <f>SUM(B110:J110)</f>
        <v/>
      </c>
      <c r="L110" s="10">
        <f>AVERAGE(B110:J110)</f>
        <v/>
      </c>
    </row>
    <row r="111">
      <c r="A111" s="6" t="inlineStr">
        <is>
          <t>נשר</t>
        </is>
      </c>
      <c r="B111" s="7" t="n">
        <v>161</v>
      </c>
      <c r="C111" s="7" t="n">
        <v>59</v>
      </c>
      <c r="D111" s="7" t="n">
        <v>0</v>
      </c>
      <c r="E111" s="7" t="n">
        <v>0</v>
      </c>
      <c r="F111" s="7" t="n">
        <v>56</v>
      </c>
      <c r="G111" s="7" t="n">
        <v>183</v>
      </c>
      <c r="H111" s="7" t="n">
        <v>217</v>
      </c>
      <c r="I111" s="7" t="n">
        <v>234</v>
      </c>
      <c r="J111" s="7" t="n">
        <v>200</v>
      </c>
      <c r="K111" s="11">
        <f>SUM(B111:J111)</f>
        <v/>
      </c>
      <c r="L111" s="11">
        <f>AVERAGE(B111:J111)</f>
        <v/>
      </c>
    </row>
    <row r="112">
      <c r="A112" s="2" t="inlineStr">
        <is>
          <t>נתיבות</t>
        </is>
      </c>
      <c r="B112" s="3" t="n">
        <v>595</v>
      </c>
      <c r="C112" s="3" t="n">
        <v>683</v>
      </c>
      <c r="D112" s="3" t="n">
        <v>909</v>
      </c>
      <c r="E112" s="3" t="n">
        <v>1136</v>
      </c>
      <c r="F112" s="3" t="n">
        <v>1051</v>
      </c>
      <c r="G112" s="3" t="n">
        <v>1226</v>
      </c>
      <c r="H112" s="3" t="n">
        <v>359</v>
      </c>
      <c r="I112" s="3" t="n">
        <v>1792</v>
      </c>
      <c r="J112" s="3" t="n">
        <v>1703</v>
      </c>
      <c r="K112" s="10">
        <f>SUM(B112:J112)</f>
        <v/>
      </c>
      <c r="L112" s="10">
        <f>AVERAGE(B112:J112)</f>
        <v/>
      </c>
    </row>
    <row r="113">
      <c r="A113" s="6" t="inlineStr">
        <is>
          <t>נתניה</t>
        </is>
      </c>
      <c r="B113" s="7" t="n">
        <v>1624</v>
      </c>
      <c r="C113" s="7" t="n">
        <v>1384</v>
      </c>
      <c r="D113" s="7" t="n">
        <v>472</v>
      </c>
      <c r="E113" s="7" t="n">
        <v>1584</v>
      </c>
      <c r="F113" s="7" t="n">
        <v>2085</v>
      </c>
      <c r="G113" s="7" t="n">
        <v>1941</v>
      </c>
      <c r="H113" s="7" t="n">
        <v>2000</v>
      </c>
      <c r="I113" s="7" t="n">
        <v>3771</v>
      </c>
      <c r="J113" s="7" t="n">
        <v>1069</v>
      </c>
      <c r="K113" s="11">
        <f>SUM(B113:J113)</f>
        <v/>
      </c>
      <c r="L113" s="11">
        <f>AVERAGE(B113:J113)</f>
        <v/>
      </c>
    </row>
    <row r="114">
      <c r="A114" s="2" t="inlineStr">
        <is>
          <t>סח'נין</t>
        </is>
      </c>
      <c r="B114" s="3" t="n">
        <v>180</v>
      </c>
      <c r="C114" s="3" t="n">
        <v>105</v>
      </c>
      <c r="D114" s="3" t="n">
        <v>117</v>
      </c>
      <c r="E114" s="3" t="n">
        <v>79</v>
      </c>
      <c r="F114" s="3" t="n">
        <v>96</v>
      </c>
      <c r="G114" s="3" t="n">
        <v>54</v>
      </c>
      <c r="H114" s="3" t="n">
        <v>236</v>
      </c>
      <c r="I114" s="3" t="n">
        <v>193</v>
      </c>
      <c r="J114" s="3" t="n">
        <v>201</v>
      </c>
      <c r="K114" s="10">
        <f>SUM(B114:J114)</f>
        <v/>
      </c>
      <c r="L114" s="10">
        <f>AVERAGE(B114:J114)</f>
        <v/>
      </c>
    </row>
    <row r="115">
      <c r="A115" s="6" t="inlineStr">
        <is>
          <t>עומר</t>
        </is>
      </c>
      <c r="B115" s="7" t="n">
        <v>23</v>
      </c>
      <c r="C115" s="7" t="n">
        <v>8</v>
      </c>
      <c r="D115" s="7" t="n">
        <v>22</v>
      </c>
      <c r="E115" s="7" t="n">
        <v>16</v>
      </c>
      <c r="F115" s="7" t="n">
        <v>13</v>
      </c>
      <c r="G115" s="7" t="n">
        <v>11</v>
      </c>
      <c r="H115" s="7" t="n">
        <v>7</v>
      </c>
      <c r="I115" s="7" t="n">
        <v>18</v>
      </c>
      <c r="J115" s="7" t="n">
        <v>4</v>
      </c>
      <c r="K115" s="11">
        <f>SUM(B115:J115)</f>
        <v/>
      </c>
      <c r="L115" s="11">
        <f>AVERAGE(B115:J115)</f>
        <v/>
      </c>
    </row>
    <row r="116">
      <c r="A116" s="2" t="inlineStr">
        <is>
          <t>עילוט</t>
        </is>
      </c>
      <c r="B116" s="3" t="n">
        <v>49</v>
      </c>
      <c r="C116" s="3" t="n">
        <v>54</v>
      </c>
      <c r="D116" s="3" t="n">
        <v>40</v>
      </c>
      <c r="E116" s="3" t="n">
        <v>46</v>
      </c>
      <c r="F116" s="3" t="n">
        <v>82</v>
      </c>
      <c r="G116" s="3" t="n">
        <v>95</v>
      </c>
      <c r="H116" s="3" t="n">
        <v>108</v>
      </c>
      <c r="I116" s="3" t="n">
        <v>63</v>
      </c>
      <c r="J116" s="3" t="n">
        <v>63</v>
      </c>
      <c r="K116" s="10">
        <f>SUM(B116:J116)</f>
        <v/>
      </c>
      <c r="L116" s="10">
        <f>AVERAGE(B116:J116)</f>
        <v/>
      </c>
    </row>
    <row r="117">
      <c r="A117" s="6" t="inlineStr">
        <is>
          <t>עין מאהל</t>
        </is>
      </c>
      <c r="B117" s="7" t="n">
        <v>66</v>
      </c>
      <c r="C117" s="7" t="n">
        <v>89</v>
      </c>
      <c r="D117" s="7" t="n">
        <v>52</v>
      </c>
      <c r="E117" s="7" t="n">
        <v>59</v>
      </c>
      <c r="F117" s="7" t="n">
        <v>44</v>
      </c>
      <c r="G117" s="7" t="n">
        <v>35</v>
      </c>
      <c r="H117" s="7" t="n">
        <v>72</v>
      </c>
      <c r="I117" s="7" t="n">
        <v>50</v>
      </c>
      <c r="J117" s="7" t="n">
        <v>48</v>
      </c>
      <c r="K117" s="11">
        <f>SUM(B117:J117)</f>
        <v/>
      </c>
      <c r="L117" s="11">
        <f>AVERAGE(B117:J117)</f>
        <v/>
      </c>
    </row>
    <row r="118">
      <c r="A118" s="2" t="inlineStr">
        <is>
          <t>עכו</t>
        </is>
      </c>
      <c r="B118" s="3" t="n">
        <v>298</v>
      </c>
      <c r="C118" s="3" t="n">
        <v>60</v>
      </c>
      <c r="D118" s="3" t="n">
        <v>214</v>
      </c>
      <c r="E118" s="3" t="n">
        <v>1057</v>
      </c>
      <c r="F118" s="3" t="n">
        <v>460</v>
      </c>
      <c r="G118" s="3" t="n">
        <v>138</v>
      </c>
      <c r="H118" s="3" t="n">
        <v>24</v>
      </c>
      <c r="I118" s="3" t="n">
        <v>624</v>
      </c>
      <c r="J118" s="3" t="n">
        <v>972</v>
      </c>
      <c r="K118" s="10">
        <f>SUM(B118:J118)</f>
        <v/>
      </c>
      <c r="L118" s="10">
        <f>AVERAGE(B118:J118)</f>
        <v/>
      </c>
    </row>
    <row r="119">
      <c r="A119" s="6" t="inlineStr">
        <is>
          <t>עספיא</t>
        </is>
      </c>
      <c r="B119" s="7" t="n">
        <v>4</v>
      </c>
      <c r="C119" s="7" t="n">
        <v>5</v>
      </c>
      <c r="D119" s="7" t="n">
        <v>185</v>
      </c>
      <c r="E119" s="7" t="n">
        <v>35</v>
      </c>
      <c r="F119" s="7" t="n">
        <v>7</v>
      </c>
      <c r="G119" s="7" t="n">
        <v>35</v>
      </c>
      <c r="H119" s="7" t="n">
        <v>0</v>
      </c>
      <c r="I119" s="7" t="n">
        <v>0</v>
      </c>
      <c r="J119" s="7" t="n">
        <v>0</v>
      </c>
      <c r="K119" s="11">
        <f>SUM(B119:J119)</f>
        <v/>
      </c>
      <c r="L119" s="11">
        <f>AVERAGE(B119:J119)</f>
        <v/>
      </c>
    </row>
    <row r="120">
      <c r="A120" s="2" t="inlineStr">
        <is>
          <t>עפולה</t>
        </is>
      </c>
      <c r="B120" s="3" t="n">
        <v>771</v>
      </c>
      <c r="C120" s="3" t="n">
        <v>848</v>
      </c>
      <c r="D120" s="3" t="n">
        <v>367</v>
      </c>
      <c r="E120" s="3" t="n">
        <v>279</v>
      </c>
      <c r="F120" s="3" t="n">
        <v>438</v>
      </c>
      <c r="G120" s="3" t="n">
        <v>643</v>
      </c>
      <c r="H120" s="3" t="n">
        <v>631</v>
      </c>
      <c r="I120" s="3" t="n">
        <v>944</v>
      </c>
      <c r="J120" s="3" t="n">
        <v>802</v>
      </c>
      <c r="K120" s="10">
        <f>SUM(B120:J120)</f>
        <v/>
      </c>
      <c r="L120" s="10">
        <f>AVERAGE(B120:J120)</f>
        <v/>
      </c>
    </row>
    <row r="121">
      <c r="A121" s="6" t="inlineStr">
        <is>
          <t>עראבה</t>
        </is>
      </c>
      <c r="B121" s="7" t="n">
        <v>87</v>
      </c>
      <c r="C121" s="7" t="n">
        <v>82</v>
      </c>
      <c r="D121" s="7" t="n">
        <v>85</v>
      </c>
      <c r="E121" s="7" t="n">
        <v>72</v>
      </c>
      <c r="F121" s="7" t="n">
        <v>75</v>
      </c>
      <c r="G121" s="7" t="n">
        <v>70</v>
      </c>
      <c r="H121" s="7" t="n">
        <v>127</v>
      </c>
      <c r="I121" s="7" t="n">
        <v>87</v>
      </c>
      <c r="J121" s="7" t="n">
        <v>141</v>
      </c>
      <c r="K121" s="11">
        <f>SUM(B121:J121)</f>
        <v/>
      </c>
      <c r="L121" s="11">
        <f>AVERAGE(B121:J121)</f>
        <v/>
      </c>
    </row>
    <row r="122">
      <c r="A122" s="2" t="inlineStr">
        <is>
          <t>ערד</t>
        </is>
      </c>
      <c r="B122" s="3" t="n">
        <v>45</v>
      </c>
      <c r="C122" s="3" t="n">
        <v>79</v>
      </c>
      <c r="D122" s="3" t="n">
        <v>122</v>
      </c>
      <c r="E122" s="3" t="n">
        <v>97</v>
      </c>
      <c r="F122" s="3" t="n">
        <v>83</v>
      </c>
      <c r="G122" s="3" t="n">
        <v>39</v>
      </c>
      <c r="H122" s="3" t="n">
        <v>61</v>
      </c>
      <c r="I122" s="3" t="n">
        <v>107</v>
      </c>
      <c r="J122" s="3" t="n">
        <v>354</v>
      </c>
      <c r="K122" s="10">
        <f>SUM(B122:J122)</f>
        <v/>
      </c>
      <c r="L122" s="10">
        <f>AVERAGE(B122:J122)</f>
        <v/>
      </c>
    </row>
    <row r="123">
      <c r="A123" s="6" t="inlineStr">
        <is>
          <t>ערערה</t>
        </is>
      </c>
      <c r="B123" s="7" t="n">
        <v>33</v>
      </c>
      <c r="C123" s="7" t="n">
        <v>0</v>
      </c>
      <c r="D123" s="7" t="n">
        <v>9</v>
      </c>
      <c r="E123" s="7" t="n">
        <v>16</v>
      </c>
      <c r="F123" s="7" t="n">
        <v>9</v>
      </c>
      <c r="G123" s="7" t="n">
        <v>45</v>
      </c>
      <c r="H123" s="7" t="n">
        <v>54</v>
      </c>
      <c r="I123" s="7" t="n">
        <v>54</v>
      </c>
      <c r="J123" s="7" t="n">
        <v>28</v>
      </c>
      <c r="K123" s="11">
        <f>SUM(B123:J123)</f>
        <v/>
      </c>
      <c r="L123" s="11">
        <f>AVERAGE(B123:J123)</f>
        <v/>
      </c>
    </row>
    <row r="124">
      <c r="A124" s="2" t="inlineStr">
        <is>
          <t>ערערה-בנגב</t>
        </is>
      </c>
      <c r="B124" s="3" t="n">
        <v>68</v>
      </c>
      <c r="C124" s="3" t="n">
        <v>37</v>
      </c>
      <c r="D124" s="3" t="n">
        <v>31</v>
      </c>
      <c r="E124" s="3" t="n">
        <v>25</v>
      </c>
      <c r="F124" s="3" t="n">
        <v>40</v>
      </c>
      <c r="G124" s="3" t="n">
        <v>75</v>
      </c>
      <c r="H124" s="3" t="n">
        <v>110</v>
      </c>
      <c r="I124" s="3" t="n">
        <v>81</v>
      </c>
      <c r="J124" s="3" t="n">
        <v>139</v>
      </c>
      <c r="K124" s="10">
        <f>SUM(B124:J124)</f>
        <v/>
      </c>
      <c r="L124" s="10">
        <f>AVERAGE(B124:J124)</f>
        <v/>
      </c>
    </row>
    <row r="125">
      <c r="A125" s="6" t="inlineStr">
        <is>
          <t>עתלית</t>
        </is>
      </c>
      <c r="B125" s="7" t="n">
        <v>28</v>
      </c>
      <c r="C125" s="7" t="n">
        <v>35</v>
      </c>
      <c r="D125" s="7" t="n">
        <v>72</v>
      </c>
      <c r="E125" s="7" t="n">
        <v>62</v>
      </c>
      <c r="F125" s="7" t="n">
        <v>48</v>
      </c>
      <c r="G125" s="7" t="n">
        <v>63</v>
      </c>
      <c r="H125" s="7" t="n">
        <v>154</v>
      </c>
      <c r="I125" s="7" t="n">
        <v>146</v>
      </c>
      <c r="J125" s="7" t="n">
        <v>168</v>
      </c>
      <c r="K125" s="11">
        <f>SUM(B125:J125)</f>
        <v/>
      </c>
      <c r="L125" s="11">
        <f>AVERAGE(B125:J125)</f>
        <v/>
      </c>
    </row>
    <row r="126">
      <c r="A126" s="2" t="inlineStr">
        <is>
          <t>פוריידיס</t>
        </is>
      </c>
      <c r="B126" s="3" t="n">
        <v>35</v>
      </c>
      <c r="C126" s="3" t="n">
        <v>34</v>
      </c>
      <c r="D126" s="3" t="n">
        <v>21</v>
      </c>
      <c r="E126" s="3" t="n">
        <v>32</v>
      </c>
      <c r="F126" s="3" t="n">
        <v>66</v>
      </c>
      <c r="G126" s="3" t="n">
        <v>73</v>
      </c>
      <c r="H126" s="3" t="n">
        <v>81</v>
      </c>
      <c r="I126" s="3" t="n">
        <v>114</v>
      </c>
      <c r="J126" s="3" t="n">
        <v>83</v>
      </c>
      <c r="K126" s="10">
        <f>SUM(B126:J126)</f>
        <v/>
      </c>
      <c r="L126" s="10">
        <f>AVERAGE(B126:J126)</f>
        <v/>
      </c>
    </row>
    <row r="127">
      <c r="A127" s="6" t="inlineStr">
        <is>
          <t>פרדס חנה-כרכור</t>
        </is>
      </c>
      <c r="B127" s="7" t="n">
        <v>404</v>
      </c>
      <c r="C127" s="7" t="n">
        <v>89</v>
      </c>
      <c r="D127" s="7" t="n">
        <v>234</v>
      </c>
      <c r="E127" s="7" t="n">
        <v>92</v>
      </c>
      <c r="F127" s="7" t="n">
        <v>613</v>
      </c>
      <c r="G127" s="7" t="n">
        <v>432</v>
      </c>
      <c r="H127" s="7" t="n">
        <v>319</v>
      </c>
      <c r="I127" s="7" t="n">
        <v>203</v>
      </c>
      <c r="J127" s="7" t="n">
        <v>230</v>
      </c>
      <c r="K127" s="11">
        <f>SUM(B127:J127)</f>
        <v/>
      </c>
      <c r="L127" s="11">
        <f>AVERAGE(B127:J127)</f>
        <v/>
      </c>
    </row>
    <row r="128">
      <c r="A128" s="2" t="inlineStr">
        <is>
          <t>פרדסייה</t>
        </is>
      </c>
      <c r="B128" s="3" t="n">
        <v>10</v>
      </c>
      <c r="C128" s="3" t="n">
        <v>285</v>
      </c>
      <c r="D128" s="3" t="n">
        <v>59</v>
      </c>
      <c r="E128" s="3" t="n">
        <v>122</v>
      </c>
      <c r="F128" s="3" t="n">
        <v>22</v>
      </c>
      <c r="G128" s="3" t="n">
        <v>37</v>
      </c>
      <c r="H128" s="3" t="n">
        <v>19</v>
      </c>
      <c r="I128" s="3" t="n">
        <v>3</v>
      </c>
      <c r="J128" s="3" t="n">
        <v>6</v>
      </c>
      <c r="K128" s="10">
        <f>SUM(B128:J128)</f>
        <v/>
      </c>
      <c r="L128" s="10">
        <f>AVERAGE(B128:J128)</f>
        <v/>
      </c>
    </row>
    <row r="129">
      <c r="A129" s="6" t="inlineStr">
        <is>
          <t>פתח תקווה</t>
        </is>
      </c>
      <c r="B129" s="7" t="n">
        <v>1720</v>
      </c>
      <c r="C129" s="7" t="n">
        <v>843</v>
      </c>
      <c r="D129" s="7" t="n">
        <v>1035</v>
      </c>
      <c r="E129" s="7" t="n">
        <v>549</v>
      </c>
      <c r="F129" s="7" t="n">
        <v>725</v>
      </c>
      <c r="G129" s="7" t="n">
        <v>1732</v>
      </c>
      <c r="H129" s="7" t="n">
        <v>2168</v>
      </c>
      <c r="I129" s="7" t="n">
        <v>1454</v>
      </c>
      <c r="J129" s="7" t="n">
        <v>3028</v>
      </c>
      <c r="K129" s="11">
        <f>SUM(B129:J129)</f>
        <v/>
      </c>
      <c r="L129" s="11">
        <f>AVERAGE(B129:J129)</f>
        <v/>
      </c>
    </row>
    <row r="130">
      <c r="A130" s="2" t="inlineStr">
        <is>
          <t>צור הדסה</t>
        </is>
      </c>
      <c r="B130" s="3" t="n">
        <v>773</v>
      </c>
      <c r="C130" s="3" t="n">
        <v>7</v>
      </c>
      <c r="D130" s="3" t="n">
        <v>4</v>
      </c>
      <c r="E130" s="3" t="n">
        <v>6</v>
      </c>
      <c r="F130" s="3" t="n">
        <v>0</v>
      </c>
      <c r="G130" s="3" t="n">
        <v>1</v>
      </c>
      <c r="H130" s="3" t="n">
        <v>1</v>
      </c>
      <c r="I130" s="3" t="n">
        <v>0</v>
      </c>
      <c r="J130" s="3" t="n">
        <v>0</v>
      </c>
      <c r="K130" s="10">
        <f>SUM(B130:J130)</f>
        <v/>
      </c>
      <c r="L130" s="10">
        <f>AVERAGE(B130:J130)</f>
        <v/>
      </c>
    </row>
    <row r="131">
      <c r="A131" s="6" t="inlineStr">
        <is>
          <t>צור יצחק</t>
        </is>
      </c>
      <c r="B131" s="7" t="n">
        <v>232</v>
      </c>
      <c r="C131" s="7" t="n">
        <v>0</v>
      </c>
      <c r="D131" s="7" t="n">
        <v>0</v>
      </c>
      <c r="E131" s="7" t="n">
        <v>87</v>
      </c>
      <c r="F131" s="7" t="n">
        <v>268</v>
      </c>
      <c r="G131" s="7" t="n">
        <v>0</v>
      </c>
      <c r="H131" s="7" t="n">
        <v>160</v>
      </c>
      <c r="I131" s="7" t="n">
        <v>0</v>
      </c>
      <c r="J131" s="7" t="n">
        <v>0</v>
      </c>
      <c r="K131" s="11">
        <f>SUM(B131:J131)</f>
        <v/>
      </c>
      <c r="L131" s="11">
        <f>AVERAGE(B131:J131)</f>
        <v/>
      </c>
    </row>
    <row r="132">
      <c r="A132" s="2" t="inlineStr">
        <is>
          <t>צפת</t>
        </is>
      </c>
      <c r="B132" s="3" t="n">
        <v>24</v>
      </c>
      <c r="C132" s="3" t="n">
        <v>26</v>
      </c>
      <c r="D132" s="3" t="n">
        <v>12</v>
      </c>
      <c r="E132" s="3" t="n">
        <v>56</v>
      </c>
      <c r="F132" s="3" t="n">
        <v>45</v>
      </c>
      <c r="G132" s="3" t="n">
        <v>72</v>
      </c>
      <c r="H132" s="3" t="n">
        <v>584</v>
      </c>
      <c r="I132" s="3" t="n">
        <v>169</v>
      </c>
      <c r="J132" s="3" t="n">
        <v>327</v>
      </c>
      <c r="K132" s="10">
        <f>SUM(B132:J132)</f>
        <v/>
      </c>
      <c r="L132" s="10">
        <f>AVERAGE(B132:J132)</f>
        <v/>
      </c>
    </row>
    <row r="133">
      <c r="A133" s="6" t="inlineStr">
        <is>
          <t>קדימה-צורן</t>
        </is>
      </c>
      <c r="B133" s="7" t="n">
        <v>79</v>
      </c>
      <c r="C133" s="7" t="n">
        <v>106</v>
      </c>
      <c r="D133" s="7" t="n">
        <v>79</v>
      </c>
      <c r="E133" s="7" t="n">
        <v>37</v>
      </c>
      <c r="F133" s="7" t="n">
        <v>25</v>
      </c>
      <c r="G133" s="7" t="n">
        <v>47</v>
      </c>
      <c r="H133" s="7" t="n">
        <v>32</v>
      </c>
      <c r="I133" s="7" t="n">
        <v>129</v>
      </c>
      <c r="J133" s="7" t="n">
        <v>135</v>
      </c>
      <c r="K133" s="11">
        <f>SUM(B133:J133)</f>
        <v/>
      </c>
      <c r="L133" s="11">
        <f>AVERAGE(B133:J133)</f>
        <v/>
      </c>
    </row>
    <row r="134">
      <c r="A134" s="2" t="inlineStr">
        <is>
          <t>קלנסווה</t>
        </is>
      </c>
      <c r="B134" s="3" t="n">
        <v>118</v>
      </c>
      <c r="C134" s="3" t="n">
        <v>37</v>
      </c>
      <c r="D134" s="3" t="n">
        <v>91</v>
      </c>
      <c r="E134" s="3" t="n">
        <v>84</v>
      </c>
      <c r="F134" s="3" t="n">
        <v>48</v>
      </c>
      <c r="G134" s="3" t="n">
        <v>72</v>
      </c>
      <c r="H134" s="3" t="n">
        <v>67</v>
      </c>
      <c r="I134" s="3" t="n">
        <v>58</v>
      </c>
      <c r="J134" s="3" t="n">
        <v>66</v>
      </c>
      <c r="K134" s="10">
        <f>SUM(B134:J134)</f>
        <v/>
      </c>
      <c r="L134" s="10">
        <f>AVERAGE(B134:J134)</f>
        <v/>
      </c>
    </row>
    <row r="135">
      <c r="A135" s="6" t="inlineStr">
        <is>
          <t>קצרין</t>
        </is>
      </c>
      <c r="B135" s="7" t="n">
        <v>98</v>
      </c>
      <c r="C135" s="7" t="n">
        <v>125</v>
      </c>
      <c r="D135" s="7" t="n">
        <v>75</v>
      </c>
      <c r="E135" s="7" t="n">
        <v>13</v>
      </c>
      <c r="F135" s="7" t="n">
        <v>47</v>
      </c>
      <c r="G135" s="7" t="n">
        <v>26</v>
      </c>
      <c r="H135" s="7" t="n">
        <v>112</v>
      </c>
      <c r="I135" s="7" t="n">
        <v>82</v>
      </c>
      <c r="J135" s="7" t="n">
        <v>276</v>
      </c>
      <c r="K135" s="11">
        <f>SUM(B135:J135)</f>
        <v/>
      </c>
      <c r="L135" s="11">
        <f>AVERAGE(B135:J135)</f>
        <v/>
      </c>
    </row>
    <row r="136">
      <c r="A136" s="2" t="inlineStr">
        <is>
          <t>קריית אונו</t>
        </is>
      </c>
      <c r="B136" s="3" t="n">
        <v>162</v>
      </c>
      <c r="C136" s="3" t="n">
        <v>405</v>
      </c>
      <c r="D136" s="3" t="n">
        <v>880</v>
      </c>
      <c r="E136" s="3" t="n">
        <v>642</v>
      </c>
      <c r="F136" s="3" t="n">
        <v>872</v>
      </c>
      <c r="G136" s="3" t="n">
        <v>1321</v>
      </c>
      <c r="H136" s="3" t="n">
        <v>923</v>
      </c>
      <c r="I136" s="3" t="n">
        <v>1208</v>
      </c>
      <c r="J136" s="3" t="n">
        <v>1022</v>
      </c>
      <c r="K136" s="10">
        <f>SUM(B136:J136)</f>
        <v/>
      </c>
      <c r="L136" s="10">
        <f>AVERAGE(B136:J136)</f>
        <v/>
      </c>
    </row>
    <row r="137">
      <c r="A137" s="6" t="inlineStr">
        <is>
          <t>קריית ארבע</t>
        </is>
      </c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11">
        <f>SUM(B137:J137)</f>
        <v/>
      </c>
      <c r="L137" s="11">
        <f>AVERAGE(B137:J137)</f>
        <v/>
      </c>
    </row>
    <row r="138">
      <c r="A138" s="2" t="inlineStr">
        <is>
          <t>קריית אתא</t>
        </is>
      </c>
      <c r="B138" s="3" t="n">
        <v>619</v>
      </c>
      <c r="C138" s="3" t="n">
        <v>307</v>
      </c>
      <c r="D138" s="3" t="n">
        <v>471</v>
      </c>
      <c r="E138" s="3" t="n">
        <v>279</v>
      </c>
      <c r="F138" s="3" t="n">
        <v>376</v>
      </c>
      <c r="G138" s="3" t="n">
        <v>327</v>
      </c>
      <c r="H138" s="3" t="n">
        <v>361</v>
      </c>
      <c r="I138" s="3" t="n">
        <v>446</v>
      </c>
      <c r="J138" s="3" t="n">
        <v>824</v>
      </c>
      <c r="K138" s="10">
        <f>SUM(B138:J138)</f>
        <v/>
      </c>
      <c r="L138" s="10">
        <f>AVERAGE(B138:J138)</f>
        <v/>
      </c>
    </row>
    <row r="139">
      <c r="A139" s="6" t="inlineStr">
        <is>
          <t>קריית ביאליק</t>
        </is>
      </c>
      <c r="B139" s="7" t="n">
        <v>346</v>
      </c>
      <c r="C139" s="7" t="n">
        <v>1593</v>
      </c>
      <c r="D139" s="7" t="n">
        <v>369</v>
      </c>
      <c r="E139" s="7" t="n">
        <v>132</v>
      </c>
      <c r="F139" s="7" t="n">
        <v>251</v>
      </c>
      <c r="G139" s="7" t="n">
        <v>542</v>
      </c>
      <c r="H139" s="7" t="n">
        <v>171</v>
      </c>
      <c r="I139" s="7" t="n">
        <v>891</v>
      </c>
      <c r="J139" s="7" t="n">
        <v>1100</v>
      </c>
      <c r="K139" s="11">
        <f>SUM(B139:J139)</f>
        <v/>
      </c>
      <c r="L139" s="11">
        <f>AVERAGE(B139:J139)</f>
        <v/>
      </c>
    </row>
    <row r="140">
      <c r="A140" s="2" t="inlineStr">
        <is>
          <t>קריית גת</t>
        </is>
      </c>
      <c r="B140" s="3" t="n">
        <v>713</v>
      </c>
      <c r="C140" s="3" t="n">
        <v>810</v>
      </c>
      <c r="D140" s="3" t="n">
        <v>955</v>
      </c>
      <c r="E140" s="3" t="n">
        <v>1385</v>
      </c>
      <c r="F140" s="3" t="n">
        <v>799</v>
      </c>
      <c r="G140" s="3" t="n">
        <v>741</v>
      </c>
      <c r="H140" s="3" t="n">
        <v>706</v>
      </c>
      <c r="I140" s="3" t="n">
        <v>613</v>
      </c>
      <c r="J140" s="3" t="n">
        <v>696</v>
      </c>
      <c r="K140" s="10">
        <f>SUM(B140:J140)</f>
        <v/>
      </c>
      <c r="L140" s="10">
        <f>AVERAGE(B140:J140)</f>
        <v/>
      </c>
    </row>
    <row r="141">
      <c r="A141" s="6" t="inlineStr">
        <is>
          <t>קריית טבעון</t>
        </is>
      </c>
      <c r="B141" s="7" t="n">
        <v>42</v>
      </c>
      <c r="C141" s="7" t="n">
        <v>24</v>
      </c>
      <c r="D141" s="7" t="n">
        <v>25</v>
      </c>
      <c r="E141" s="7" t="n">
        <v>243</v>
      </c>
      <c r="F141" s="7" t="n">
        <v>165</v>
      </c>
      <c r="G141" s="7" t="n">
        <v>133</v>
      </c>
      <c r="H141" s="7" t="n">
        <v>216</v>
      </c>
      <c r="I141" s="7" t="n">
        <v>137</v>
      </c>
      <c r="J141" s="7" t="n">
        <v>21</v>
      </c>
      <c r="K141" s="11">
        <f>SUM(B141:J141)</f>
        <v/>
      </c>
      <c r="L141" s="11">
        <f>AVERAGE(B141:J141)</f>
        <v/>
      </c>
    </row>
    <row r="142">
      <c r="A142" s="2" t="inlineStr">
        <is>
          <t>קריית ים</t>
        </is>
      </c>
      <c r="B142" s="3" t="n">
        <v>97</v>
      </c>
      <c r="C142" s="3" t="n">
        <v>129</v>
      </c>
      <c r="D142" s="3" t="n">
        <v>81</v>
      </c>
      <c r="E142" s="3" t="n">
        <v>787</v>
      </c>
      <c r="F142" s="3" t="n">
        <v>273</v>
      </c>
      <c r="G142" s="3" t="n">
        <v>194</v>
      </c>
      <c r="H142" s="3" t="n">
        <v>514</v>
      </c>
      <c r="I142" s="3" t="n">
        <v>161</v>
      </c>
      <c r="J142" s="3" t="n">
        <v>18</v>
      </c>
      <c r="K142" s="10">
        <f>SUM(B142:J142)</f>
        <v/>
      </c>
      <c r="L142" s="10">
        <f>AVERAGE(B142:J142)</f>
        <v/>
      </c>
    </row>
    <row r="143">
      <c r="A143" s="6" t="inlineStr">
        <is>
          <t>קריית יערים</t>
        </is>
      </c>
      <c r="B143" s="7" t="n">
        <v>50</v>
      </c>
      <c r="C143" s="7" t="n">
        <v>18</v>
      </c>
      <c r="D143" s="7" t="n">
        <v>59</v>
      </c>
      <c r="E143" s="7" t="n">
        <v>0</v>
      </c>
      <c r="F143" s="7" t="n">
        <v>2</v>
      </c>
      <c r="G143" s="7" t="n">
        <v>114</v>
      </c>
      <c r="H143" s="7" t="n">
        <v>0</v>
      </c>
      <c r="I143" s="7" t="n">
        <v>4</v>
      </c>
      <c r="J143" s="7" t="n">
        <v>2</v>
      </c>
      <c r="K143" s="11">
        <f>SUM(B143:J143)</f>
        <v/>
      </c>
      <c r="L143" s="11">
        <f>AVERAGE(B143:J143)</f>
        <v/>
      </c>
    </row>
    <row r="144">
      <c r="A144" s="2" t="inlineStr">
        <is>
          <t>קריית מוצקין</t>
        </is>
      </c>
      <c r="B144" s="3" t="n">
        <v>842</v>
      </c>
      <c r="C144" s="3" t="n">
        <v>1688</v>
      </c>
      <c r="D144" s="3" t="n">
        <v>242</v>
      </c>
      <c r="E144" s="3" t="n">
        <v>265</v>
      </c>
      <c r="F144" s="3" t="n">
        <v>228</v>
      </c>
      <c r="G144" s="3" t="n">
        <v>177</v>
      </c>
      <c r="H144" s="3" t="n">
        <v>231</v>
      </c>
      <c r="I144" s="3" t="n">
        <v>36</v>
      </c>
      <c r="J144" s="3" t="n">
        <v>290</v>
      </c>
      <c r="K144" s="10">
        <f>SUM(B144:J144)</f>
        <v/>
      </c>
      <c r="L144" s="10">
        <f>AVERAGE(B144:J144)</f>
        <v/>
      </c>
    </row>
    <row r="145">
      <c r="A145" s="6" t="inlineStr">
        <is>
          <t>קריית מלאכי</t>
        </is>
      </c>
      <c r="B145" s="7" t="n">
        <v>510</v>
      </c>
      <c r="C145" s="7" t="n">
        <v>140</v>
      </c>
      <c r="D145" s="7" t="n">
        <v>248</v>
      </c>
      <c r="E145" s="7" t="n">
        <v>40</v>
      </c>
      <c r="F145" s="7" t="n">
        <v>296</v>
      </c>
      <c r="G145" s="7" t="n">
        <v>353</v>
      </c>
      <c r="H145" s="7" t="n">
        <v>440</v>
      </c>
      <c r="I145" s="7" t="n">
        <v>489</v>
      </c>
      <c r="J145" s="7" t="n">
        <v>86</v>
      </c>
      <c r="K145" s="11">
        <f>SUM(B145:J145)</f>
        <v/>
      </c>
      <c r="L145" s="11">
        <f>AVERAGE(B145:J145)</f>
        <v/>
      </c>
    </row>
    <row r="146">
      <c r="A146" s="2" t="inlineStr">
        <is>
          <t>קריית עקרון</t>
        </is>
      </c>
      <c r="B146" s="3" t="n">
        <v>12</v>
      </c>
      <c r="C146" s="3" t="n">
        <v>6</v>
      </c>
      <c r="D146" s="3" t="n">
        <v>1</v>
      </c>
      <c r="E146" s="3" t="n">
        <v>7</v>
      </c>
      <c r="F146" s="3" t="n">
        <v>5</v>
      </c>
      <c r="G146" s="3" t="n">
        <v>2</v>
      </c>
      <c r="H146" s="3" t="n">
        <v>13</v>
      </c>
      <c r="I146" s="3" t="n">
        <v>8</v>
      </c>
      <c r="J146" s="3" t="n">
        <v>32</v>
      </c>
      <c r="K146" s="10">
        <f>SUM(B146:J146)</f>
        <v/>
      </c>
      <c r="L146" s="10">
        <f>AVERAGE(B146:J146)</f>
        <v/>
      </c>
    </row>
    <row r="147">
      <c r="A147" s="6" t="inlineStr">
        <is>
          <t>קריית שמונה</t>
        </is>
      </c>
      <c r="B147" s="7" t="n">
        <v>23</v>
      </c>
      <c r="C147" s="7" t="n">
        <v>75</v>
      </c>
      <c r="D147" s="7" t="n">
        <v>87</v>
      </c>
      <c r="E147" s="7" t="n">
        <v>48</v>
      </c>
      <c r="F147" s="7" t="n">
        <v>579</v>
      </c>
      <c r="G147" s="7" t="n">
        <v>167</v>
      </c>
      <c r="H147" s="7" t="n">
        <v>102</v>
      </c>
      <c r="I147" s="7" t="n">
        <v>78</v>
      </c>
      <c r="J147" s="7" t="n">
        <v>16</v>
      </c>
      <c r="K147" s="11">
        <f>SUM(B147:J147)</f>
        <v/>
      </c>
      <c r="L147" s="11">
        <f>AVERAGE(B147:J147)</f>
        <v/>
      </c>
    </row>
    <row r="148">
      <c r="A148" s="2" t="inlineStr">
        <is>
          <t>קרני שומרון</t>
        </is>
      </c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10">
        <f>SUM(B148:J148)</f>
        <v/>
      </c>
      <c r="L148" s="10">
        <f>AVERAGE(B148:J148)</f>
        <v/>
      </c>
    </row>
    <row r="149">
      <c r="A149" s="6" t="inlineStr">
        <is>
          <t>ראמה</t>
        </is>
      </c>
      <c r="B149" s="7" t="n">
        <v>24</v>
      </c>
      <c r="C149" s="7" t="n">
        <v>25</v>
      </c>
      <c r="D149" s="7" t="n">
        <v>12</v>
      </c>
      <c r="E149" s="7" t="n">
        <v>1</v>
      </c>
      <c r="F149" s="7" t="n">
        <v>8</v>
      </c>
      <c r="G149" s="7" t="n">
        <v>4</v>
      </c>
      <c r="H149" s="7" t="n">
        <v>25</v>
      </c>
      <c r="I149" s="7" t="n">
        <v>48</v>
      </c>
      <c r="J149" s="7" t="n">
        <v>37</v>
      </c>
      <c r="K149" s="11">
        <f>SUM(B149:J149)</f>
        <v/>
      </c>
      <c r="L149" s="11">
        <f>AVERAGE(B149:J149)</f>
        <v/>
      </c>
    </row>
    <row r="150">
      <c r="A150" s="2" t="inlineStr">
        <is>
          <t>ראש העין</t>
        </is>
      </c>
      <c r="B150" s="3" t="n">
        <v>904</v>
      </c>
      <c r="C150" s="3" t="n">
        <v>2911</v>
      </c>
      <c r="D150" s="3" t="n">
        <v>484</v>
      </c>
      <c r="E150" s="3" t="n">
        <v>282</v>
      </c>
      <c r="F150" s="3" t="n">
        <v>73</v>
      </c>
      <c r="G150" s="3" t="n">
        <v>529</v>
      </c>
      <c r="H150" s="3" t="n">
        <v>740</v>
      </c>
      <c r="I150" s="3" t="n">
        <v>1052</v>
      </c>
      <c r="J150" s="3" t="n">
        <v>295</v>
      </c>
      <c r="K150" s="10">
        <f>SUM(B150:J150)</f>
        <v/>
      </c>
      <c r="L150" s="10">
        <f>AVERAGE(B150:J150)</f>
        <v/>
      </c>
    </row>
    <row r="151">
      <c r="A151" s="6" t="inlineStr">
        <is>
          <t>ראשון לציון</t>
        </is>
      </c>
      <c r="B151" s="7" t="n">
        <v>855</v>
      </c>
      <c r="C151" s="7" t="n">
        <v>1802</v>
      </c>
      <c r="D151" s="7" t="n">
        <v>1836</v>
      </c>
      <c r="E151" s="7" t="n">
        <v>1284</v>
      </c>
      <c r="F151" s="7" t="n">
        <v>2348</v>
      </c>
      <c r="G151" s="7" t="n">
        <v>2677</v>
      </c>
      <c r="H151" s="7" t="n">
        <v>3098</v>
      </c>
      <c r="I151" s="7" t="n">
        <v>1392</v>
      </c>
      <c r="J151" s="7" t="n">
        <v>1007</v>
      </c>
      <c r="K151" s="11">
        <f>SUM(B151:J151)</f>
        <v/>
      </c>
      <c r="L151" s="11">
        <f>AVERAGE(B151:J151)</f>
        <v/>
      </c>
    </row>
    <row r="152">
      <c r="A152" s="2" t="inlineStr">
        <is>
          <t>רהט</t>
        </is>
      </c>
      <c r="B152" s="3" t="n">
        <v>290</v>
      </c>
      <c r="C152" s="3" t="n">
        <v>192</v>
      </c>
      <c r="D152" s="3" t="n">
        <v>274</v>
      </c>
      <c r="E152" s="3" t="n">
        <v>324</v>
      </c>
      <c r="F152" s="3" t="n">
        <v>304</v>
      </c>
      <c r="G152" s="3" t="n">
        <v>299</v>
      </c>
      <c r="H152" s="3" t="n">
        <v>267</v>
      </c>
      <c r="I152" s="3" t="n">
        <v>223</v>
      </c>
      <c r="J152" s="3" t="n">
        <v>194</v>
      </c>
      <c r="K152" s="10">
        <f>SUM(B152:J152)</f>
        <v/>
      </c>
      <c r="L152" s="10">
        <f>AVERAGE(B152:J152)</f>
        <v/>
      </c>
    </row>
    <row r="153">
      <c r="A153" s="6" t="inlineStr">
        <is>
          <t>רחובות</t>
        </is>
      </c>
      <c r="B153" s="7" t="n">
        <v>1000</v>
      </c>
      <c r="C153" s="7" t="n">
        <v>1072</v>
      </c>
      <c r="D153" s="7" t="n">
        <v>873</v>
      </c>
      <c r="E153" s="7" t="n">
        <v>884</v>
      </c>
      <c r="F153" s="7" t="n">
        <v>867</v>
      </c>
      <c r="G153" s="7" t="n">
        <v>797</v>
      </c>
      <c r="H153" s="7" t="n">
        <v>497</v>
      </c>
      <c r="I153" s="7" t="n">
        <v>1562</v>
      </c>
      <c r="J153" s="7" t="n">
        <v>869</v>
      </c>
      <c r="K153" s="11">
        <f>SUM(B153:J153)</f>
        <v/>
      </c>
      <c r="L153" s="11">
        <f>AVERAGE(B153:J153)</f>
        <v/>
      </c>
    </row>
    <row r="154">
      <c r="A154" s="2" t="inlineStr">
        <is>
          <t>ריינה</t>
        </is>
      </c>
      <c r="B154" s="3" t="n">
        <v>70</v>
      </c>
      <c r="C154" s="3" t="n">
        <v>87</v>
      </c>
      <c r="D154" s="3" t="n">
        <v>103</v>
      </c>
      <c r="E154" s="3" t="n">
        <v>125</v>
      </c>
      <c r="F154" s="3" t="n">
        <v>115</v>
      </c>
      <c r="G154" s="3" t="n">
        <v>101</v>
      </c>
      <c r="H154" s="3" t="n">
        <v>97</v>
      </c>
      <c r="I154" s="3" t="n">
        <v>92</v>
      </c>
      <c r="J154" s="3" t="n">
        <v>100</v>
      </c>
      <c r="K154" s="10">
        <f>SUM(B154:J154)</f>
        <v/>
      </c>
      <c r="L154" s="10">
        <f>AVERAGE(B154:J154)</f>
        <v/>
      </c>
    </row>
    <row r="155">
      <c r="A155" s="6" t="inlineStr">
        <is>
          <t>רכסים</t>
        </is>
      </c>
      <c r="B155" s="7" t="n">
        <v>31</v>
      </c>
      <c r="C155" s="7" t="n">
        <v>228</v>
      </c>
      <c r="D155" s="7" t="n">
        <v>15</v>
      </c>
      <c r="E155" s="7" t="n">
        <v>62</v>
      </c>
      <c r="F155" s="7" t="n">
        <v>69</v>
      </c>
      <c r="G155" s="7" t="n">
        <v>18</v>
      </c>
      <c r="H155" s="7" t="n">
        <v>399</v>
      </c>
      <c r="I155" s="7" t="n">
        <v>224</v>
      </c>
      <c r="J155" s="7" t="n">
        <v>651</v>
      </c>
      <c r="K155" s="11">
        <f>SUM(B155:J155)</f>
        <v/>
      </c>
      <c r="L155" s="11">
        <f>AVERAGE(B155:J155)</f>
        <v/>
      </c>
    </row>
    <row r="156">
      <c r="A156" s="2" t="inlineStr">
        <is>
          <t>רמלה</t>
        </is>
      </c>
      <c r="B156" s="3" t="n">
        <v>46</v>
      </c>
      <c r="C156" s="3" t="n">
        <v>343</v>
      </c>
      <c r="D156" s="3" t="n">
        <v>15</v>
      </c>
      <c r="E156" s="3" t="n">
        <v>763</v>
      </c>
      <c r="F156" s="3" t="n">
        <v>1447</v>
      </c>
      <c r="G156" s="3" t="n">
        <v>874</v>
      </c>
      <c r="H156" s="3" t="n">
        <v>72</v>
      </c>
      <c r="I156" s="3" t="n">
        <v>330</v>
      </c>
      <c r="J156" s="3" t="n">
        <v>239</v>
      </c>
      <c r="K156" s="10">
        <f>SUM(B156:J156)</f>
        <v/>
      </c>
      <c r="L156" s="10">
        <f>AVERAGE(B156:J156)</f>
        <v/>
      </c>
    </row>
    <row r="157">
      <c r="A157" s="6" t="inlineStr">
        <is>
          <t>רמת גן</t>
        </is>
      </c>
      <c r="B157" s="7" t="n">
        <v>1250</v>
      </c>
      <c r="C157" s="7" t="n">
        <v>1136</v>
      </c>
      <c r="D157" s="7" t="n">
        <v>2135</v>
      </c>
      <c r="E157" s="7" t="n">
        <v>2262</v>
      </c>
      <c r="F157" s="7" t="n">
        <v>2565</v>
      </c>
      <c r="G157" s="7" t="n">
        <v>1936</v>
      </c>
      <c r="H157" s="7" t="n">
        <v>1940</v>
      </c>
      <c r="I157" s="7" t="n">
        <v>1059</v>
      </c>
      <c r="J157" s="7" t="n">
        <v>2875</v>
      </c>
      <c r="K157" s="11">
        <f>SUM(B157:J157)</f>
        <v/>
      </c>
      <c r="L157" s="11">
        <f>AVERAGE(B157:J157)</f>
        <v/>
      </c>
    </row>
    <row r="158">
      <c r="A158" s="2" t="inlineStr">
        <is>
          <t>רמת השרון</t>
        </is>
      </c>
      <c r="B158" s="3" t="n">
        <v>630</v>
      </c>
      <c r="C158" s="3" t="n">
        <v>185</v>
      </c>
      <c r="D158" s="3" t="n">
        <v>378</v>
      </c>
      <c r="E158" s="3" t="n">
        <v>596</v>
      </c>
      <c r="F158" s="3" t="n">
        <v>114</v>
      </c>
      <c r="G158" s="3" t="n">
        <v>612</v>
      </c>
      <c r="H158" s="3" t="n">
        <v>648</v>
      </c>
      <c r="I158" s="3" t="n">
        <v>708</v>
      </c>
      <c r="J158" s="3" t="n">
        <v>396</v>
      </c>
      <c r="K158" s="10">
        <f>SUM(B158:J158)</f>
        <v/>
      </c>
      <c r="L158" s="10">
        <f>AVERAGE(B158:J158)</f>
        <v/>
      </c>
    </row>
    <row r="159">
      <c r="A159" s="6" t="inlineStr">
        <is>
          <t>רמת ישי</t>
        </is>
      </c>
      <c r="B159" s="7" t="n">
        <v>30</v>
      </c>
      <c r="C159" s="7" t="n">
        <v>20</v>
      </c>
      <c r="D159" s="7" t="n">
        <v>96</v>
      </c>
      <c r="E159" s="7" t="n">
        <v>64</v>
      </c>
      <c r="F159" s="7" t="n">
        <v>26</v>
      </c>
      <c r="G159" s="7" t="n">
        <v>40</v>
      </c>
      <c r="H159" s="7" t="n">
        <v>30</v>
      </c>
      <c r="I159" s="7" t="n">
        <v>29</v>
      </c>
      <c r="J159" s="7" t="n">
        <v>7</v>
      </c>
      <c r="K159" s="11">
        <f>SUM(B159:J159)</f>
        <v/>
      </c>
      <c r="L159" s="11">
        <f>AVERAGE(B159:J159)</f>
        <v/>
      </c>
    </row>
    <row r="160">
      <c r="A160" s="2" t="inlineStr">
        <is>
          <t>רעננה</t>
        </is>
      </c>
      <c r="B160" s="3" t="n">
        <v>589</v>
      </c>
      <c r="C160" s="3" t="n">
        <v>815</v>
      </c>
      <c r="D160" s="3" t="n">
        <v>647</v>
      </c>
      <c r="E160" s="3" t="n">
        <v>851</v>
      </c>
      <c r="F160" s="3" t="n">
        <v>456</v>
      </c>
      <c r="G160" s="3" t="n">
        <v>527</v>
      </c>
      <c r="H160" s="3" t="n">
        <v>1073</v>
      </c>
      <c r="I160" s="3" t="n">
        <v>1193</v>
      </c>
      <c r="J160" s="3" t="n">
        <v>1282</v>
      </c>
      <c r="K160" s="10">
        <f>SUM(B160:J160)</f>
        <v/>
      </c>
      <c r="L160" s="10">
        <f>AVERAGE(B160:J160)</f>
        <v/>
      </c>
    </row>
    <row r="161">
      <c r="A161" s="6" t="inlineStr">
        <is>
          <t>שגב-שלום</t>
        </is>
      </c>
      <c r="B161" s="7" t="n">
        <v>85</v>
      </c>
      <c r="C161" s="7" t="n">
        <v>86</v>
      </c>
      <c r="D161" s="7" t="n">
        <v>31</v>
      </c>
      <c r="E161" s="7" t="n">
        <v>22</v>
      </c>
      <c r="F161" s="7" t="n">
        <v>36</v>
      </c>
      <c r="G161" s="7" t="n">
        <v>55</v>
      </c>
      <c r="H161" s="7" t="n">
        <v>46</v>
      </c>
      <c r="I161" s="7" t="n">
        <v>71</v>
      </c>
      <c r="J161" s="7" t="n">
        <v>70</v>
      </c>
      <c r="K161" s="11">
        <f>SUM(B161:J161)</f>
        <v/>
      </c>
      <c r="L161" s="11">
        <f>AVERAGE(B161:J161)</f>
        <v/>
      </c>
    </row>
    <row r="162">
      <c r="A162" s="2" t="inlineStr">
        <is>
          <t>שדרות</t>
        </is>
      </c>
      <c r="B162" s="3" t="n">
        <v>445</v>
      </c>
      <c r="C162" s="3" t="n">
        <v>880</v>
      </c>
      <c r="D162" s="3" t="n">
        <v>231</v>
      </c>
      <c r="E162" s="3" t="n">
        <v>571</v>
      </c>
      <c r="F162" s="3" t="n">
        <v>503</v>
      </c>
      <c r="G162" s="3" t="n">
        <v>311</v>
      </c>
      <c r="H162" s="3" t="n">
        <v>685</v>
      </c>
      <c r="I162" s="3" t="n">
        <v>224</v>
      </c>
      <c r="J162" s="3" t="n">
        <v>409</v>
      </c>
      <c r="K162" s="10">
        <f>SUM(B162:J162)</f>
        <v/>
      </c>
      <c r="L162" s="10">
        <f>AVERAGE(B162:J162)</f>
        <v/>
      </c>
    </row>
    <row r="163">
      <c r="A163" s="6" t="inlineStr">
        <is>
          <t>שוהם</t>
        </is>
      </c>
      <c r="B163" s="7" t="n">
        <v>181</v>
      </c>
      <c r="C163" s="7" t="n">
        <v>30</v>
      </c>
      <c r="D163" s="7" t="n">
        <v>135</v>
      </c>
      <c r="E163" s="7" t="n">
        <v>860</v>
      </c>
      <c r="F163" s="7" t="n">
        <v>445</v>
      </c>
      <c r="G163" s="7" t="n">
        <v>2</v>
      </c>
      <c r="H163" s="7" t="n">
        <v>58</v>
      </c>
      <c r="I163" s="7" t="n">
        <v>1</v>
      </c>
      <c r="J163" s="7" t="n">
        <v>0</v>
      </c>
      <c r="K163" s="11">
        <f>SUM(B163:J163)</f>
        <v/>
      </c>
      <c r="L163" s="11">
        <f>AVERAGE(B163:J163)</f>
        <v/>
      </c>
    </row>
    <row r="164">
      <c r="A164" s="2" t="inlineStr">
        <is>
          <t>שלומי</t>
        </is>
      </c>
      <c r="B164" s="3" t="n">
        <v>8</v>
      </c>
      <c r="C164" s="3" t="n">
        <v>71</v>
      </c>
      <c r="D164" s="3" t="n">
        <v>84</v>
      </c>
      <c r="E164" s="3" t="n">
        <v>151</v>
      </c>
      <c r="F164" s="3" t="n">
        <v>73</v>
      </c>
      <c r="G164" s="3" t="n">
        <v>51</v>
      </c>
      <c r="H164" s="3" t="n">
        <v>76</v>
      </c>
      <c r="I164" s="3" t="n">
        <v>74</v>
      </c>
      <c r="J164" s="3" t="n">
        <v>49</v>
      </c>
      <c r="K164" s="10">
        <f>SUM(B164:J164)</f>
        <v/>
      </c>
      <c r="L164" s="10">
        <f>AVERAGE(B164:J164)</f>
        <v/>
      </c>
    </row>
    <row r="165">
      <c r="A165" s="6" t="inlineStr">
        <is>
          <t>שעב</t>
        </is>
      </c>
      <c r="B165" s="7" t="n">
        <v>34</v>
      </c>
      <c r="C165" s="7" t="n">
        <v>126</v>
      </c>
      <c r="D165" s="7" t="n">
        <v>106</v>
      </c>
      <c r="E165" s="7" t="n">
        <v>60</v>
      </c>
      <c r="F165" s="7" t="n">
        <v>36</v>
      </c>
      <c r="G165" s="7" t="n">
        <v>23</v>
      </c>
      <c r="H165" s="7" t="n">
        <v>18</v>
      </c>
      <c r="I165" s="7" t="n">
        <v>21</v>
      </c>
      <c r="J165" s="7" t="n">
        <v>15</v>
      </c>
      <c r="K165" s="11">
        <f>SUM(B165:J165)</f>
        <v/>
      </c>
      <c r="L165" s="11">
        <f>AVERAGE(B165:J165)</f>
        <v/>
      </c>
    </row>
    <row r="166">
      <c r="A166" s="2" t="inlineStr">
        <is>
          <t>שפרעם</t>
        </is>
      </c>
      <c r="B166" s="3" t="n">
        <v>218</v>
      </c>
      <c r="C166" s="3" t="n">
        <v>226</v>
      </c>
      <c r="D166" s="3" t="n">
        <v>65</v>
      </c>
      <c r="E166" s="3" t="n">
        <v>38</v>
      </c>
      <c r="F166" s="3" t="n">
        <v>62</v>
      </c>
      <c r="G166" s="3" t="n">
        <v>148</v>
      </c>
      <c r="H166" s="3" t="n">
        <v>230</v>
      </c>
      <c r="I166" s="3" t="n">
        <v>317</v>
      </c>
      <c r="J166" s="3" t="n">
        <v>179</v>
      </c>
      <c r="K166" s="10">
        <f>SUM(B166:J166)</f>
        <v/>
      </c>
      <c r="L166" s="10">
        <f>AVERAGE(B166:J166)</f>
        <v/>
      </c>
    </row>
    <row r="167">
      <c r="A167" s="6" t="inlineStr">
        <is>
          <t>תל אביב-יפו</t>
        </is>
      </c>
      <c r="B167" s="7" t="n">
        <v>2410</v>
      </c>
      <c r="C167" s="7" t="n">
        <v>3130</v>
      </c>
      <c r="D167" s="7" t="n">
        <v>3379</v>
      </c>
      <c r="E167" s="7" t="n">
        <v>4531</v>
      </c>
      <c r="F167" s="7" t="n">
        <v>3418</v>
      </c>
      <c r="G167" s="7" t="n">
        <v>6716</v>
      </c>
      <c r="H167" s="7" t="n">
        <v>6412</v>
      </c>
      <c r="I167" s="7" t="n">
        <v>5759</v>
      </c>
      <c r="J167" s="7" t="n">
        <v>6642</v>
      </c>
      <c r="K167" s="11">
        <f>SUM(B167:J167)</f>
        <v/>
      </c>
      <c r="L167" s="11">
        <f>AVERAGE(B167:J167)</f>
        <v/>
      </c>
    </row>
    <row r="168">
      <c r="A168" s="2" t="inlineStr">
        <is>
          <t>תל מונד</t>
        </is>
      </c>
      <c r="B168" s="3" t="n">
        <v>80</v>
      </c>
      <c r="C168" s="3" t="n">
        <v>149</v>
      </c>
      <c r="D168" s="3" t="n">
        <v>48</v>
      </c>
      <c r="E168" s="3" t="n">
        <v>60</v>
      </c>
      <c r="F168" s="3" t="n">
        <v>179</v>
      </c>
      <c r="G168" s="3" t="n">
        <v>115</v>
      </c>
      <c r="H168" s="3" t="n">
        <v>236</v>
      </c>
      <c r="I168" s="3" t="n">
        <v>201</v>
      </c>
      <c r="J168" s="3" t="n">
        <v>89</v>
      </c>
      <c r="K168" s="10">
        <f>SUM(B168:J168)</f>
        <v/>
      </c>
      <c r="L168" s="10">
        <f>AVERAGE(B168:J168)</f>
        <v/>
      </c>
    </row>
    <row r="169">
      <c r="A169" s="6" t="inlineStr">
        <is>
          <t>תל שבע</t>
        </is>
      </c>
      <c r="B169" s="7" t="n">
        <v>27</v>
      </c>
      <c r="C169" s="7" t="n">
        <v>24</v>
      </c>
      <c r="D169" s="7" t="n">
        <v>12</v>
      </c>
      <c r="E169" s="7" t="n">
        <v>18</v>
      </c>
      <c r="F169" s="7" t="n">
        <v>12</v>
      </c>
      <c r="G169" s="7" t="n">
        <v>39</v>
      </c>
      <c r="H169" s="7" t="n">
        <v>37</v>
      </c>
      <c r="I169" s="7" t="n">
        <v>58</v>
      </c>
      <c r="J169" s="7" t="n">
        <v>70</v>
      </c>
      <c r="K169" s="11">
        <f>SUM(B169:J169)</f>
        <v/>
      </c>
      <c r="L169" s="11">
        <f>AVERAGE(B169:J169)</f>
        <v/>
      </c>
    </row>
  </sheetData>
  <autoFilter ref="A1:L1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  <col width="16" customWidth="1" min="8" max="8"/>
  </cols>
  <sheetData>
    <row r="1">
      <c r="A1" s="1" t="inlineStr">
        <is>
          <t>עיר</t>
        </is>
      </c>
      <c r="B1" s="1" t="inlineStr">
        <is>
          <t>מכירות חדשות 2023</t>
        </is>
      </c>
      <c r="C1" s="1" t="inlineStr">
        <is>
          <t>מכירות חדשות 2024</t>
        </is>
      </c>
      <c r="D1" s="1" t="inlineStr">
        <is>
          <t>מכירות חדשות 2025</t>
        </is>
      </c>
      <c r="E1" s="1" t="inlineStr">
        <is>
          <t>מלאי לא מכור 2025</t>
        </is>
      </c>
      <c r="F1" s="1" t="inlineStr">
        <is>
          <t>ממוצע מכירות 3 שנים</t>
        </is>
      </c>
      <c r="G1" s="1" t="inlineStr">
        <is>
          <t>שנים לפינוי 2025</t>
        </is>
      </c>
      <c r="H1" s="1" t="inlineStr">
        <is>
          <t>שנים לפינוי ממוצע</t>
        </is>
      </c>
    </row>
    <row r="2">
      <c r="A2" s="2" t="inlineStr">
        <is>
          <t>אופקים</t>
        </is>
      </c>
      <c r="B2" s="3" t="n">
        <v>446</v>
      </c>
      <c r="C2" s="3" t="n">
        <v>2103</v>
      </c>
      <c r="D2" s="3" t="n">
        <v>2013</v>
      </c>
      <c r="E2" s="3" t="n">
        <v>1090</v>
      </c>
      <c r="F2" s="4" t="n">
        <v>1520.666666666667</v>
      </c>
      <c r="G2" s="4" t="n">
        <v>0.5414803775459514</v>
      </c>
      <c r="H2" s="4" t="n">
        <v>0.7167908811924594</v>
      </c>
    </row>
    <row r="3">
      <c r="A3" s="6" t="inlineStr">
        <is>
          <t>אלעד</t>
        </is>
      </c>
      <c r="B3" s="7" t="n">
        <v>163</v>
      </c>
      <c r="C3" s="7" t="n">
        <v>680</v>
      </c>
      <c r="D3" s="7" t="n"/>
      <c r="E3" s="7" t="n">
        <v>1070</v>
      </c>
      <c r="F3" s="8" t="n"/>
      <c r="G3" s="8" t="n"/>
      <c r="H3" s="8" t="n"/>
    </row>
    <row r="4">
      <c r="A4" s="2" t="inlineStr">
        <is>
          <t>אשדוד</t>
        </is>
      </c>
      <c r="B4" s="3" t="n">
        <v>1024</v>
      </c>
      <c r="C4" s="3" t="n">
        <v>1579</v>
      </c>
      <c r="D4" s="3" t="n">
        <v>1008</v>
      </c>
      <c r="E4" s="3" t="n">
        <v>3574</v>
      </c>
      <c r="F4" s="4" t="n">
        <v>1203.666666666667</v>
      </c>
      <c r="G4" s="4" t="n">
        <v>3.54563492063492</v>
      </c>
      <c r="H4" s="4" t="n">
        <v>2.969260592633619</v>
      </c>
    </row>
    <row r="5">
      <c r="A5" s="6" t="inlineStr">
        <is>
          <t>אשקלון</t>
        </is>
      </c>
      <c r="B5" s="7" t="n">
        <v>1527</v>
      </c>
      <c r="C5" s="7" t="n">
        <v>1527</v>
      </c>
      <c r="D5" s="7" t="n">
        <v>747</v>
      </c>
      <c r="E5" s="7" t="n">
        <v>1809</v>
      </c>
      <c r="F5" s="8" t="n">
        <v>1267</v>
      </c>
      <c r="G5" s="8" t="n">
        <v>2.421686746987952</v>
      </c>
      <c r="H5" s="8" t="n">
        <v>1.427782162588792</v>
      </c>
    </row>
    <row r="6">
      <c r="A6" s="2" t="inlineStr">
        <is>
          <t>באר יעקב</t>
        </is>
      </c>
      <c r="B6" s="3" t="n">
        <v>329</v>
      </c>
      <c r="C6" s="3" t="n">
        <v>641</v>
      </c>
      <c r="D6" s="3" t="n">
        <v>1024</v>
      </c>
      <c r="E6" s="3" t="n">
        <v>1760</v>
      </c>
      <c r="F6" s="4" t="n">
        <v>664.6666666666666</v>
      </c>
      <c r="G6" s="4" t="n">
        <v>1.71875</v>
      </c>
      <c r="H6" s="4" t="n">
        <v>2.647943831494484</v>
      </c>
    </row>
    <row r="7">
      <c r="A7" s="6" t="inlineStr">
        <is>
          <t>באר שבע</t>
        </is>
      </c>
      <c r="B7" s="7" t="n">
        <v>940</v>
      </c>
      <c r="C7" s="7" t="n">
        <v>1257</v>
      </c>
      <c r="D7" s="7" t="n">
        <v>611</v>
      </c>
      <c r="E7" s="7" t="n">
        <v>800</v>
      </c>
      <c r="F7" s="8" t="n">
        <v>936</v>
      </c>
      <c r="G7" s="8" t="n">
        <v>1.309328968903437</v>
      </c>
      <c r="H7" s="8" t="n">
        <v>0.8547008547008547</v>
      </c>
    </row>
    <row r="8">
      <c r="A8" s="2" t="inlineStr">
        <is>
          <t>בית שמש</t>
        </is>
      </c>
      <c r="B8" s="3" t="n">
        <v>825</v>
      </c>
      <c r="C8" s="3" t="n">
        <v>1120</v>
      </c>
      <c r="D8" s="3" t="n">
        <v>590</v>
      </c>
      <c r="E8" s="3" t="n">
        <v>2256</v>
      </c>
      <c r="F8" s="4" t="n">
        <v>845</v>
      </c>
      <c r="G8" s="4" t="n">
        <v>3.823728813559322</v>
      </c>
      <c r="H8" s="4" t="n">
        <v>2.669822485207101</v>
      </c>
    </row>
    <row r="9">
      <c r="A9" s="6" t="inlineStr">
        <is>
          <t>בני ברק</t>
        </is>
      </c>
      <c r="B9" s="7" t="n"/>
      <c r="C9" s="7" t="n"/>
      <c r="D9" s="7" t="n"/>
      <c r="E9" s="7" t="n">
        <v>1791</v>
      </c>
      <c r="F9" s="8" t="n"/>
      <c r="G9" s="8" t="n"/>
      <c r="H9" s="8" t="n"/>
    </row>
    <row r="10">
      <c r="A10" s="2" t="inlineStr">
        <is>
          <t>בת ים</t>
        </is>
      </c>
      <c r="B10" s="3" t="n">
        <v>566</v>
      </c>
      <c r="C10" s="3" t="n">
        <v>1124</v>
      </c>
      <c r="D10" s="3" t="n">
        <v>651</v>
      </c>
      <c r="E10" s="3" t="n">
        <v>5145</v>
      </c>
      <c r="F10" s="4" t="n">
        <v>780.3333333333334</v>
      </c>
      <c r="G10" s="4" t="n">
        <v>7.903225806451613</v>
      </c>
      <c r="H10" s="4" t="n">
        <v>6.593336181119179</v>
      </c>
    </row>
    <row r="11">
      <c r="A11" s="6" t="inlineStr">
        <is>
          <t>הרצליה</t>
        </is>
      </c>
      <c r="B11" s="7" t="n">
        <v>248</v>
      </c>
      <c r="C11" s="7" t="n">
        <v>485</v>
      </c>
      <c r="D11" s="7" t="n">
        <v>726</v>
      </c>
      <c r="E11" s="7" t="n">
        <v>1379</v>
      </c>
      <c r="F11" s="8" t="n">
        <v>486.3333333333333</v>
      </c>
      <c r="G11" s="8" t="n">
        <v>1.899449035812672</v>
      </c>
      <c r="H11" s="8" t="n">
        <v>2.835503769705278</v>
      </c>
    </row>
    <row r="12">
      <c r="A12" s="2" t="inlineStr">
        <is>
          <t>חדרה</t>
        </is>
      </c>
      <c r="B12" s="3" t="n"/>
      <c r="C12" s="3" t="n"/>
      <c r="D12" s="3" t="n"/>
      <c r="E12" s="3" t="n">
        <v>551</v>
      </c>
      <c r="F12" s="4" t="n"/>
      <c r="G12" s="4" t="n"/>
      <c r="H12" s="4" t="n"/>
    </row>
    <row r="13">
      <c r="A13" s="6" t="inlineStr">
        <is>
          <t>חולון</t>
        </is>
      </c>
      <c r="B13" s="7" t="n"/>
      <c r="C13" s="7" t="n"/>
      <c r="D13" s="7" t="n"/>
      <c r="E13" s="7" t="n">
        <v>1129</v>
      </c>
      <c r="F13" s="8" t="n"/>
      <c r="G13" s="8" t="n"/>
      <c r="H13" s="8" t="n"/>
    </row>
    <row r="14">
      <c r="A14" s="2" t="inlineStr">
        <is>
          <t>חיפה</t>
        </is>
      </c>
      <c r="B14" s="3" t="n">
        <v>780</v>
      </c>
      <c r="C14" s="3" t="n">
        <v>1239</v>
      </c>
      <c r="D14" s="3" t="n">
        <v>1094</v>
      </c>
      <c r="E14" s="3" t="n">
        <v>2530</v>
      </c>
      <c r="F14" s="4" t="n">
        <v>1037.666666666667</v>
      </c>
      <c r="G14" s="4" t="n">
        <v>2.312614259597806</v>
      </c>
      <c r="H14" s="4" t="n">
        <v>2.438162544169611</v>
      </c>
    </row>
    <row r="15">
      <c r="A15" s="6" t="inlineStr">
        <is>
          <t>ירושלים</t>
        </is>
      </c>
      <c r="B15" s="7" t="n">
        <v>2359</v>
      </c>
      <c r="C15" s="7" t="n">
        <v>2957</v>
      </c>
      <c r="D15" s="7" t="n">
        <v>1911</v>
      </c>
      <c r="E15" s="7" t="n">
        <v>10234</v>
      </c>
      <c r="F15" s="8" t="n">
        <v>2409</v>
      </c>
      <c r="G15" s="8" t="n">
        <v>5.355311355311355</v>
      </c>
      <c r="H15" s="8" t="n">
        <v>4.248235782482358</v>
      </c>
    </row>
    <row r="16">
      <c r="A16" s="2" t="inlineStr">
        <is>
          <t>מכבים רעות</t>
        </is>
      </c>
      <c r="B16" s="3" t="n"/>
      <c r="C16" s="3" t="n"/>
      <c r="D16" s="3" t="n"/>
      <c r="E16" s="3" t="n">
        <v>260</v>
      </c>
      <c r="F16" s="4" t="n"/>
      <c r="G16" s="4" t="n"/>
      <c r="H16" s="4" t="n"/>
    </row>
    <row r="17">
      <c r="A17" s="6" t="inlineStr">
        <is>
          <t>נתיבות</t>
        </is>
      </c>
      <c r="B17" s="7" t="n">
        <v>1166</v>
      </c>
      <c r="C17" s="7" t="n">
        <v>1432</v>
      </c>
      <c r="D17" s="7" t="n">
        <v>1120</v>
      </c>
      <c r="E17" s="7" t="n">
        <v>340</v>
      </c>
      <c r="F17" s="8" t="n">
        <v>1239.333333333333</v>
      </c>
      <c r="G17" s="8" t="n">
        <v>0.3035714285714285</v>
      </c>
      <c r="H17" s="8" t="n">
        <v>0.2743410435718128</v>
      </c>
    </row>
    <row r="18">
      <c r="A18" s="2" t="inlineStr">
        <is>
          <t>נתניה</t>
        </is>
      </c>
      <c r="B18" s="3" t="n">
        <v>860</v>
      </c>
      <c r="C18" s="3" t="n">
        <v>1354</v>
      </c>
      <c r="D18" s="3" t="n">
        <v>1347</v>
      </c>
      <c r="E18" s="3" t="n">
        <v>3599</v>
      </c>
      <c r="F18" s="4" t="n">
        <v>1187</v>
      </c>
      <c r="G18" s="4" t="n">
        <v>2.671863400148478</v>
      </c>
      <c r="H18" s="4" t="n">
        <v>3.03201347935973</v>
      </c>
    </row>
    <row r="19">
      <c r="A19" s="6" t="inlineStr">
        <is>
          <t>פתח תקווה</t>
        </is>
      </c>
      <c r="B19" s="7" t="n">
        <v>820</v>
      </c>
      <c r="C19" s="7" t="n">
        <v>1602</v>
      </c>
      <c r="D19" s="7" t="n">
        <v>985</v>
      </c>
      <c r="E19" s="7" t="n">
        <v>2901</v>
      </c>
      <c r="F19" s="8" t="n">
        <v>1135.666666666667</v>
      </c>
      <c r="G19" s="8" t="n">
        <v>2.945177664974619</v>
      </c>
      <c r="H19" s="8" t="n">
        <v>2.554446727326093</v>
      </c>
    </row>
    <row r="20">
      <c r="A20" s="2" t="inlineStr">
        <is>
          <t>ראשון לציון</t>
        </is>
      </c>
      <c r="B20" s="3" t="n">
        <v>888</v>
      </c>
      <c r="C20" s="3" t="n">
        <v>908</v>
      </c>
      <c r="D20" s="3" t="n">
        <v>692</v>
      </c>
      <c r="E20" s="3" t="n">
        <v>1874</v>
      </c>
      <c r="F20" s="4" t="n">
        <v>829.3333333333334</v>
      </c>
      <c r="G20" s="4" t="n">
        <v>2.708092485549133</v>
      </c>
      <c r="H20" s="4" t="n">
        <v>2.259646302250804</v>
      </c>
    </row>
    <row r="21">
      <c r="A21" s="6" t="inlineStr">
        <is>
          <t>רחובות</t>
        </is>
      </c>
      <c r="B21" s="7" t="n"/>
      <c r="C21" s="7" t="n"/>
      <c r="D21" s="7" t="n"/>
      <c r="E21" s="7" t="n">
        <v>1435</v>
      </c>
      <c r="F21" s="8" t="n"/>
      <c r="G21" s="8" t="n"/>
      <c r="H21" s="8" t="n"/>
    </row>
    <row r="22">
      <c r="A22" s="2" t="inlineStr">
        <is>
          <t>רמת גן</t>
        </is>
      </c>
      <c r="B22" s="3" t="n">
        <v>710</v>
      </c>
      <c r="C22" s="3" t="n">
        <v>978</v>
      </c>
      <c r="D22" s="3" t="n">
        <v>760</v>
      </c>
      <c r="E22" s="3" t="n">
        <v>3012</v>
      </c>
      <c r="F22" s="4" t="n">
        <v>816</v>
      </c>
      <c r="G22" s="4" t="n">
        <v>3.963157894736842</v>
      </c>
      <c r="H22" s="4" t="n">
        <v>3.691176470588236</v>
      </c>
    </row>
    <row r="23">
      <c r="A23" s="6" t="inlineStr">
        <is>
          <t>תל אביב-יפו</t>
        </is>
      </c>
      <c r="B23" s="7" t="n">
        <v>1215</v>
      </c>
      <c r="C23" s="7" t="n">
        <v>3110</v>
      </c>
      <c r="D23" s="7" t="n">
        <v>2372</v>
      </c>
      <c r="E23" s="7" t="n">
        <v>9709</v>
      </c>
      <c r="F23" s="8" t="n">
        <v>2232.333333333333</v>
      </c>
      <c r="G23" s="8" t="n">
        <v>4.093170320404722</v>
      </c>
      <c r="H23" s="8" t="n">
        <v>4.349260863073018</v>
      </c>
    </row>
  </sheetData>
  <autoFilter ref="A1:H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8" customWidth="1" min="7" max="7"/>
  </cols>
  <sheetData>
    <row r="1">
      <c r="A1" s="1" t="inlineStr">
        <is>
          <t>עיר</t>
        </is>
      </c>
      <c r="B1" s="1" t="inlineStr">
        <is>
          <t>אוכלוסייה 2021</t>
        </is>
      </c>
      <c r="C1" s="1" t="inlineStr">
        <is>
          <t>אוכלוסייה 2022</t>
        </is>
      </c>
      <c r="D1" s="1" t="inlineStr">
        <is>
          <t>אוכלוסייה 2024</t>
        </is>
      </c>
      <c r="E1" s="1" t="inlineStr">
        <is>
          <t>אוכלוסייה 2026</t>
        </is>
      </c>
      <c r="F1" s="1" t="inlineStr">
        <is>
          <t>גידול 2022-2024</t>
        </is>
      </c>
      <c r="G1" s="1" t="inlineStr">
        <is>
          <t>שיעור גידול שנתי %</t>
        </is>
      </c>
    </row>
    <row r="2">
      <c r="A2" s="2" t="inlineStr">
        <is>
          <t>ירושלים</t>
        </is>
      </c>
      <c r="B2" s="3" t="n">
        <v>966210</v>
      </c>
      <c r="C2" s="3" t="n">
        <v>1005919</v>
      </c>
      <c r="D2" s="3" t="n">
        <v>1050151</v>
      </c>
      <c r="E2" s="3" t="n">
        <v>1046300</v>
      </c>
      <c r="F2" s="3">
        <f>IF(AND(D2&lt;&gt;"",C2&lt;&gt;""),D2-C2,"")</f>
        <v/>
      </c>
      <c r="G2" s="4">
        <f>IF(AND(D2&lt;&gt;"",C2&lt;&gt;"",C2&lt;&gt;0),((D2/C2)^(1/2)-1)*100,IF(AND(E2&lt;&gt;"",B2&lt;&gt;"",B2&lt;&gt;0),((E2/B2)^(1/5)-1)*100,""))</f>
        <v/>
      </c>
    </row>
    <row r="3">
      <c r="A3" s="6" t="inlineStr">
        <is>
          <t>תל אביב-יפו</t>
        </is>
      </c>
      <c r="B3" s="7" t="n">
        <v>467875</v>
      </c>
      <c r="C3" s="7" t="n">
        <v>492872</v>
      </c>
      <c r="D3" s="7" t="n">
        <v>494900</v>
      </c>
      <c r="E3" s="7" t="n">
        <v>464300</v>
      </c>
      <c r="F3" s="7">
        <f>IF(AND(D3&lt;&gt;"",C3&lt;&gt;""),D3-C3,"")</f>
        <v/>
      </c>
      <c r="G3" s="8">
        <f>IF(AND(D3&lt;&gt;"",C3&lt;&gt;"",C3&lt;&gt;0),((D3/C3)^(1/2)-1)*100,IF(AND(E3&lt;&gt;"",B3&lt;&gt;"",B3&lt;&gt;0),((E3/B3)^(1/5)-1)*100,""))</f>
        <v/>
      </c>
    </row>
    <row r="4">
      <c r="A4" s="2" t="inlineStr">
        <is>
          <t>חיפה</t>
        </is>
      </c>
      <c r="B4" s="3" t="n">
        <v>282832</v>
      </c>
      <c r="C4" s="3" t="n">
        <v>289507</v>
      </c>
      <c r="D4" s="3" t="n">
        <v>297083</v>
      </c>
      <c r="E4" s="3" t="n">
        <v>295700</v>
      </c>
      <c r="F4" s="3">
        <f>IF(AND(D4&lt;&gt;"",C4&lt;&gt;""),D4-C4,"")</f>
        <v/>
      </c>
      <c r="G4" s="4">
        <f>IF(AND(D4&lt;&gt;"",C4&lt;&gt;"",C4&lt;&gt;0),((D4/C4)^(1/2)-1)*100,IF(AND(E4&lt;&gt;"",B4&lt;&gt;"",B4&lt;&gt;0),((E4/B4)^(1/5)-1)*100,""))</f>
        <v/>
      </c>
    </row>
    <row r="5">
      <c r="A5" s="6" t="inlineStr">
        <is>
          <t>פתח תקווה</t>
        </is>
      </c>
      <c r="B5" s="7" t="n">
        <v>252270</v>
      </c>
      <c r="C5" s="7" t="n">
        <v>264046</v>
      </c>
      <c r="D5" s="7" t="n">
        <v>270403</v>
      </c>
      <c r="E5" s="7" t="n">
        <v>278570</v>
      </c>
      <c r="F5" s="7">
        <f>IF(AND(D5&lt;&gt;"",C5&lt;&gt;""),D5-C5,"")</f>
        <v/>
      </c>
      <c r="G5" s="8">
        <f>IF(AND(D5&lt;&gt;"",C5&lt;&gt;"",C5&lt;&gt;0),((D5/C5)^(1/2)-1)*100,IF(AND(E5&lt;&gt;"",B5&lt;&gt;"",B5&lt;&gt;0),((E5/B5)^(1/5)-1)*100,""))</f>
        <v/>
      </c>
    </row>
    <row r="6">
      <c r="A6" s="2" t="inlineStr">
        <is>
          <t>ראשון לציון</t>
        </is>
      </c>
      <c r="B6" s="3" t="n">
        <v>257128</v>
      </c>
      <c r="C6" s="3" t="n">
        <v>252413</v>
      </c>
      <c r="D6" s="3" t="n">
        <v>259275</v>
      </c>
      <c r="E6" s="3" t="n">
        <v>271200</v>
      </c>
      <c r="F6" s="3">
        <f>IF(AND(D6&lt;&gt;"",C6&lt;&gt;""),D6-C6,"")</f>
        <v/>
      </c>
      <c r="G6" s="4">
        <f>IF(AND(D6&lt;&gt;"",C6&lt;&gt;"",C6&lt;&gt;0),((D6/C6)^(1/2)-1)*100,IF(AND(E6&lt;&gt;"",B6&lt;&gt;"",B6&lt;&gt;0),((E6/B6)^(1/5)-1)*100,""))</f>
        <v/>
      </c>
    </row>
    <row r="7">
      <c r="A7" s="6" t="inlineStr">
        <is>
          <t>נתניה</t>
        </is>
      </c>
      <c r="B7" s="7" t="n">
        <v>224066</v>
      </c>
      <c r="C7" s="7" t="n">
        <v>223920</v>
      </c>
      <c r="D7" s="7" t="n">
        <v>234812</v>
      </c>
      <c r="E7" s="7" t="n">
        <v>241844</v>
      </c>
      <c r="F7" s="7">
        <f>IF(AND(D7&lt;&gt;"",C7&lt;&gt;""),D7-C7,"")</f>
        <v/>
      </c>
      <c r="G7" s="8">
        <f>IF(AND(D7&lt;&gt;"",C7&lt;&gt;"",C7&lt;&gt;0),((D7/C7)^(1/2)-1)*100,IF(AND(E7&lt;&gt;"",B7&lt;&gt;"",B7&lt;&gt;0),((E7/B7)^(1/5)-1)*100,""))</f>
        <v/>
      </c>
    </row>
    <row r="8">
      <c r="A8" s="2" t="inlineStr">
        <is>
          <t>אשדוד</t>
        </is>
      </c>
      <c r="B8" s="3" t="n">
        <v>223500</v>
      </c>
      <c r="C8" s="3" t="n">
        <v>227865</v>
      </c>
      <c r="D8" s="3" t="n">
        <v>228562</v>
      </c>
      <c r="E8" s="3" t="n">
        <v>227330</v>
      </c>
      <c r="F8" s="3">
        <f>IF(AND(D8&lt;&gt;"",C8&lt;&gt;""),D8-C8,"")</f>
        <v/>
      </c>
      <c r="G8" s="4">
        <f>IF(AND(D8&lt;&gt;"",C8&lt;&gt;"",C8&lt;&gt;0),((D8/C8)^(1/2)-1)*100,IF(AND(E8&lt;&gt;"",B8&lt;&gt;"",B8&lt;&gt;0),((E8/B8)^(1/5)-1)*100,""))</f>
        <v/>
      </c>
    </row>
    <row r="9">
      <c r="A9" s="6" t="inlineStr">
        <is>
          <t>בני ברק</t>
        </is>
      </c>
      <c r="B9" s="7" t="n">
        <v>212395</v>
      </c>
      <c r="C9" s="7" t="n">
        <v>216869</v>
      </c>
      <c r="D9" s="7" t="n">
        <v>229995</v>
      </c>
      <c r="E9" s="7" t="n">
        <v>225500</v>
      </c>
      <c r="F9" s="7">
        <f>IF(AND(D9&lt;&gt;"",C9&lt;&gt;""),D9-C9,"")</f>
        <v/>
      </c>
      <c r="G9" s="8">
        <f>IF(AND(D9&lt;&gt;"",C9&lt;&gt;"",C9&lt;&gt;0),((D9/C9)^(1/2)-1)*100,IF(AND(E9&lt;&gt;"",B9&lt;&gt;"",B9&lt;&gt;0),((E9/B9)^(1/5)-1)*100,""))</f>
        <v/>
      </c>
    </row>
    <row r="10">
      <c r="A10" s="2" t="inlineStr">
        <is>
          <t>באר שבע</t>
        </is>
      </c>
      <c r="B10" s="3" t="n">
        <v>211251</v>
      </c>
      <c r="C10" s="3" t="n">
        <v>217577</v>
      </c>
      <c r="D10" s="3" t="n">
        <v>223587</v>
      </c>
      <c r="E10" s="3" t="n">
        <v>219000</v>
      </c>
      <c r="F10" s="3">
        <f>IF(AND(D10&lt;&gt;"",C10&lt;&gt;""),D10-C10,"")</f>
        <v/>
      </c>
      <c r="G10" s="4">
        <f>IF(AND(D10&lt;&gt;"",C10&lt;&gt;"",C10&lt;&gt;0),((D10/C10)^(1/2)-1)*100,IF(AND(E10&lt;&gt;"",B10&lt;&gt;"",B10&lt;&gt;0),((E10/B10)^(1/5)-1)*100,""))</f>
        <v/>
      </c>
    </row>
    <row r="11">
      <c r="A11" s="6" t="inlineStr">
        <is>
          <t>חולון</t>
        </is>
      </c>
      <c r="B11" s="7" t="n">
        <v>197464</v>
      </c>
      <c r="C11" s="7" t="n">
        <v>192655</v>
      </c>
      <c r="D11" s="7" t="n">
        <v>191829</v>
      </c>
      <c r="E11" s="7" t="n">
        <v>196282</v>
      </c>
      <c r="F11" s="7">
        <f>IF(AND(D11&lt;&gt;"",C11&lt;&gt;""),D11-C11,"")</f>
        <v/>
      </c>
      <c r="G11" s="8">
        <f>IF(AND(D11&lt;&gt;"",C11&lt;&gt;"",C11&lt;&gt;0),((D11/C11)^(1/2)-1)*100,IF(AND(E11&lt;&gt;"",B11&lt;&gt;"",B11&lt;&gt;0),((E11/B11)^(1/5)-1)*100,""))</f>
        <v/>
      </c>
    </row>
    <row r="12">
      <c r="A12" s="2" t="inlineStr">
        <is>
          <t>רמת גן</t>
        </is>
      </c>
      <c r="B12" s="3" t="n">
        <v>169706</v>
      </c>
      <c r="C12" s="3" t="n">
        <v>165155</v>
      </c>
      <c r="D12" s="3" t="n">
        <v>172242</v>
      </c>
      <c r="E12" s="3" t="n">
        <v>177651</v>
      </c>
      <c r="F12" s="3">
        <f>IF(AND(D12&lt;&gt;"",C12&lt;&gt;""),D12-C12,"")</f>
        <v/>
      </c>
      <c r="G12" s="4">
        <f>IF(AND(D12&lt;&gt;"",C12&lt;&gt;"",C12&lt;&gt;0),((D12/C12)^(1/2)-1)*100,IF(AND(E12&lt;&gt;"",B12&lt;&gt;"",B12&lt;&gt;0),((E12/B12)^(1/5)-1)*100,""))</f>
        <v/>
      </c>
    </row>
    <row r="13">
      <c r="A13" s="6" t="inlineStr">
        <is>
          <t>בית שמש</t>
        </is>
      </c>
      <c r="B13" s="7" t="n">
        <v>141764</v>
      </c>
      <c r="C13" s="7" t="n">
        <v>145554</v>
      </c>
      <c r="D13" s="7" t="n">
        <v>176786</v>
      </c>
      <c r="E13" s="7" t="n">
        <v>176380</v>
      </c>
      <c r="F13" s="7">
        <f>IF(AND(D13&lt;&gt;"",C13&lt;&gt;""),D13-C13,"")</f>
        <v/>
      </c>
      <c r="G13" s="8">
        <f>IF(AND(D13&lt;&gt;"",C13&lt;&gt;"",C13&lt;&gt;0),((D13/C13)^(1/2)-1)*100,IF(AND(E13&lt;&gt;"",B13&lt;&gt;"",B13&lt;&gt;0),((E13/B13)^(1/5)-1)*100,""))</f>
        <v/>
      </c>
    </row>
    <row r="14">
      <c r="A14" s="2" t="inlineStr">
        <is>
          <t>אשקלון</t>
        </is>
      </c>
      <c r="B14" s="3" t="n">
        <v>149160</v>
      </c>
      <c r="C14" s="3" t="n">
        <v>152370</v>
      </c>
      <c r="D14" s="3" t="n">
        <v>166865</v>
      </c>
      <c r="E14" s="3" t="n">
        <v>167348</v>
      </c>
      <c r="F14" s="3">
        <f>IF(AND(D14&lt;&gt;"",C14&lt;&gt;""),D14-C14,"")</f>
        <v/>
      </c>
      <c r="G14" s="4">
        <f>IF(AND(D14&lt;&gt;"",C14&lt;&gt;"",C14&lt;&gt;0),((D14/C14)^(1/2)-1)*100,IF(AND(E14&lt;&gt;"",B14&lt;&gt;"",B14&lt;&gt;0),((E14/B14)^(1/5)-1)*100,""))</f>
        <v/>
      </c>
    </row>
    <row r="15">
      <c r="A15" s="6" t="inlineStr">
        <is>
          <t>רחובות</t>
        </is>
      </c>
      <c r="B15" s="7" t="n"/>
      <c r="C15" s="7" t="n">
        <v>150471</v>
      </c>
      <c r="D15" s="7" t="n">
        <v>155050</v>
      </c>
      <c r="E15" s="7" t="n">
        <v>155050</v>
      </c>
      <c r="F15" s="7">
        <f>IF(AND(D15&lt;&gt;"",C15&lt;&gt;""),D15-C15,"")</f>
        <v/>
      </c>
      <c r="G15" s="8">
        <f>IF(AND(D15&lt;&gt;"",C15&lt;&gt;"",C15&lt;&gt;0),((D15/C15)^(1/2)-1)*100,IF(AND(E15&lt;&gt;"",B15&lt;&gt;"",B15&lt;&gt;0),((E15/B15)^(1/5)-1)*100,""))</f>
        <v/>
      </c>
    </row>
    <row r="16">
      <c r="A16" s="2" t="inlineStr">
        <is>
          <t>בת ים</t>
        </is>
      </c>
      <c r="B16" s="3" t="n">
        <v>124400</v>
      </c>
      <c r="C16" s="3" t="n">
        <v>128152</v>
      </c>
      <c r="D16" s="3" t="n">
        <v>129495</v>
      </c>
      <c r="E16" s="3" t="n">
        <v>129785</v>
      </c>
      <c r="F16" s="3">
        <f>IF(AND(D16&lt;&gt;"",C16&lt;&gt;""),D16-C16,"")</f>
        <v/>
      </c>
      <c r="G16" s="4">
        <f>IF(AND(D16&lt;&gt;"",C16&lt;&gt;"",C16&lt;&gt;0),((D16/C16)^(1/2)-1)*100,IF(AND(E16&lt;&gt;"",B16&lt;&gt;"",B16&lt;&gt;0),((E16/B16)^(1/5)-1)*100,""))</f>
        <v/>
      </c>
    </row>
    <row r="17">
      <c r="A17" s="6" t="inlineStr">
        <is>
          <t>הרצליה</t>
        </is>
      </c>
      <c r="B17" s="7" t="n">
        <v>103318</v>
      </c>
      <c r="C17" s="7" t="n">
        <v>105273</v>
      </c>
      <c r="D17" s="7" t="n">
        <v>110885</v>
      </c>
      <c r="E17" s="7" t="n">
        <v>111854</v>
      </c>
      <c r="F17" s="7">
        <f>IF(AND(D17&lt;&gt;"",C17&lt;&gt;""),D17-C17,"")</f>
        <v/>
      </c>
      <c r="G17" s="8">
        <f>IF(AND(D17&lt;&gt;"",C17&lt;&gt;"",C17&lt;&gt;0),((D17/C17)^(1/2)-1)*100,IF(AND(E17&lt;&gt;"",B17&lt;&gt;"",B17&lt;&gt;0),((E17/B17)^(1/5)-1)*100,""))</f>
        <v/>
      </c>
    </row>
    <row r="18">
      <c r="A18" s="2" t="inlineStr">
        <is>
          <t>חדרה</t>
        </is>
      </c>
      <c r="B18" s="3" t="n">
        <v>100631</v>
      </c>
      <c r="C18" s="3" t="n">
        <v>103847</v>
      </c>
      <c r="D18" s="3" t="n">
        <v>107974</v>
      </c>
      <c r="E18" s="3" t="n">
        <v>108146</v>
      </c>
      <c r="F18" s="3">
        <f>IF(AND(D18&lt;&gt;"",C18&lt;&gt;""),D18-C18,"")</f>
        <v/>
      </c>
      <c r="G18" s="4">
        <f>IF(AND(D18&lt;&gt;"",C18&lt;&gt;"",C18&lt;&gt;0),((D18/C18)^(1/2)-1)*100,IF(AND(E18&lt;&gt;"",B18&lt;&gt;"",B18&lt;&gt;0),((E18/B18)^(1/5)-1)*100,""))</f>
        <v/>
      </c>
    </row>
    <row r="19">
      <c r="A19" s="6" t="inlineStr">
        <is>
          <t>מודיעין-מכבים-רעות</t>
        </is>
      </c>
      <c r="B19" s="7" t="n"/>
      <c r="C19" s="7" t="n">
        <v>92307</v>
      </c>
      <c r="D19" s="7" t="n">
        <v>100052</v>
      </c>
      <c r="E19" s="7" t="n">
        <v>100052</v>
      </c>
      <c r="F19" s="7">
        <f>IF(AND(D19&lt;&gt;"",C19&lt;&gt;""),D19-C19,"")</f>
        <v/>
      </c>
      <c r="G19" s="8">
        <f>IF(AND(D19&lt;&gt;"",C19&lt;&gt;"",C19&lt;&gt;0),((D19/C19)^(1/2)-1)*100,IF(AND(E19&lt;&gt;"",B19&lt;&gt;"",B19&lt;&gt;0),((E19/B19)^(1/5)-1)*100,""))</f>
        <v/>
      </c>
    </row>
    <row r="20">
      <c r="A20" s="2" t="inlineStr">
        <is>
          <t>כפר סבא</t>
        </is>
      </c>
      <c r="B20" s="3" t="n"/>
      <c r="C20" s="3" t="n">
        <v>100262</v>
      </c>
      <c r="D20" s="3" t="n">
        <v>99410</v>
      </c>
      <c r="E20" s="3" t="n">
        <v>99410</v>
      </c>
      <c r="F20" s="3">
        <f>IF(AND(D20&lt;&gt;"",C20&lt;&gt;""),D20-C20,"")</f>
        <v/>
      </c>
      <c r="G20" s="4">
        <f>IF(AND(D20&lt;&gt;"",C20&lt;&gt;"",C20&lt;&gt;0),((D20/C20)^(1/2)-1)*100,IF(AND(E20&lt;&gt;"",B20&lt;&gt;"",B20&lt;&gt;0),((E20/B20)^(1/5)-1)*100,""))</f>
        <v/>
      </c>
    </row>
    <row r="21">
      <c r="A21" s="6" t="inlineStr">
        <is>
          <t>לוד</t>
        </is>
      </c>
      <c r="B21" s="7" t="n">
        <v>82629</v>
      </c>
      <c r="C21" s="7" t="n">
        <v>87430</v>
      </c>
      <c r="D21" s="7" t="n">
        <v>94189</v>
      </c>
      <c r="E21" s="7" t="n">
        <v>96888</v>
      </c>
      <c r="F21" s="7">
        <f>IF(AND(D21&lt;&gt;"",C21&lt;&gt;""),D21-C21,"")</f>
        <v/>
      </c>
      <c r="G21" s="8">
        <f>IF(AND(D21&lt;&gt;"",C21&lt;&gt;"",C21&lt;&gt;0),((D21/C21)^(1/2)-1)*100,IF(AND(E21&lt;&gt;"",B21&lt;&gt;"",B21&lt;&gt;0),((E21/B21)^(1/5)-1)*100,""))</f>
        <v/>
      </c>
    </row>
    <row r="22">
      <c r="A22" s="2" t="inlineStr">
        <is>
          <t>רמלה</t>
        </is>
      </c>
      <c r="B22" s="3" t="n"/>
      <c r="C22" s="3" t="n">
        <v>81126</v>
      </c>
      <c r="D22" s="3" t="n">
        <v>86052</v>
      </c>
      <c r="E22" s="3" t="n">
        <v>86052</v>
      </c>
      <c r="F22" s="3">
        <f>IF(AND(D22&lt;&gt;"",C22&lt;&gt;""),D22-C22,"")</f>
        <v/>
      </c>
      <c r="G22" s="4">
        <f>IF(AND(D22&lt;&gt;"",C22&lt;&gt;"",C22&lt;&gt;0),((D22/C22)^(1/2)-1)*100,IF(AND(E22&lt;&gt;"",B22&lt;&gt;"",B22&lt;&gt;0),((E22/B22)^(1/5)-1)*100,""))</f>
        <v/>
      </c>
    </row>
    <row r="23">
      <c r="A23" s="6" t="inlineStr">
        <is>
          <t>רעננה</t>
        </is>
      </c>
      <c r="B23" s="7" t="n">
        <v>78562</v>
      </c>
      <c r="C23" s="7" t="n">
        <v>80155</v>
      </c>
      <c r="D23" s="7" t="n">
        <v>82963</v>
      </c>
      <c r="E23" s="7" t="n">
        <v>83900</v>
      </c>
      <c r="F23" s="7">
        <f>IF(AND(D23&lt;&gt;"",C23&lt;&gt;""),D23-C23,"")</f>
        <v/>
      </c>
      <c r="G23" s="8">
        <f>IF(AND(D23&lt;&gt;"",C23&lt;&gt;"",C23&lt;&gt;0),((D23/C23)^(1/2)-1)*100,IF(AND(E23&lt;&gt;"",B23&lt;&gt;"",B23&lt;&gt;0),((E23/B23)^(1/5)-1)*100,""))</f>
        <v/>
      </c>
    </row>
    <row r="24">
      <c r="A24" s="2" t="inlineStr">
        <is>
          <t>ראש העין</t>
        </is>
      </c>
      <c r="B24" s="3" t="n"/>
      <c r="C24" s="3" t="n">
        <v>74572</v>
      </c>
      <c r="D24" s="3" t="n">
        <v>79023</v>
      </c>
      <c r="E24" s="3" t="n">
        <v>79023</v>
      </c>
      <c r="F24" s="3">
        <f>IF(AND(D24&lt;&gt;"",C24&lt;&gt;""),D24-C24,"")</f>
        <v/>
      </c>
      <c r="G24" s="4">
        <f>IF(AND(D24&lt;&gt;"",C24&lt;&gt;"",C24&lt;&gt;0),((D24/C24)^(1/2)-1)*100,IF(AND(E24&lt;&gt;"",B24&lt;&gt;"",B24&lt;&gt;0),((E24/B24)^(1/5)-1)*100,""))</f>
        <v/>
      </c>
    </row>
    <row r="25">
      <c r="A25" s="6" t="inlineStr">
        <is>
          <t>רהט</t>
        </is>
      </c>
      <c r="B25" s="7" t="n"/>
      <c r="C25" s="7" t="n">
        <v>71355</v>
      </c>
      <c r="D25" s="7" t="n">
        <v>77996</v>
      </c>
      <c r="E25" s="7" t="n">
        <v>77996</v>
      </c>
      <c r="F25" s="7">
        <f>IF(AND(D25&lt;&gt;"",C25&lt;&gt;""),D25-C25,"")</f>
        <v/>
      </c>
      <c r="G25" s="8">
        <f>IF(AND(D25&lt;&gt;"",C25&lt;&gt;"",C25&lt;&gt;0),((D25/C25)^(1/2)-1)*100,IF(AND(E25&lt;&gt;"",B25&lt;&gt;"",B25&lt;&gt;0),((E25/B25)^(1/5)-1)*100,""))</f>
        <v/>
      </c>
    </row>
    <row r="26">
      <c r="A26" s="2" t="inlineStr">
        <is>
          <t>נצרת</t>
        </is>
      </c>
      <c r="B26" s="3" t="n"/>
      <c r="C26" s="3" t="n">
        <v>77295</v>
      </c>
      <c r="D26" s="3" t="n">
        <v>75704</v>
      </c>
      <c r="E26" s="3" t="n">
        <v>75704</v>
      </c>
      <c r="F26" s="3">
        <f>IF(AND(D26&lt;&gt;"",C26&lt;&gt;""),D26-C26,"")</f>
        <v/>
      </c>
      <c r="G26" s="4">
        <f>IF(AND(D26&lt;&gt;"",C26&lt;&gt;"",C26&lt;&gt;0),((D26/C26)^(1/2)-1)*100,IF(AND(E26&lt;&gt;"",B26&lt;&gt;"",B26&lt;&gt;0),((E26/B26)^(1/5)-1)*100,""))</f>
        <v/>
      </c>
    </row>
    <row r="27">
      <c r="A27" s="6" t="inlineStr">
        <is>
          <t>קריית גת</t>
        </is>
      </c>
      <c r="B27" s="7" t="n">
        <v>60582</v>
      </c>
      <c r="C27" s="7" t="n">
        <v>63386</v>
      </c>
      <c r="D27" s="7" t="n">
        <v>72139</v>
      </c>
      <c r="E27" s="7" t="n">
        <v>74400</v>
      </c>
      <c r="F27" s="7">
        <f>IF(AND(D27&lt;&gt;"",C27&lt;&gt;""),D27-C27,"")</f>
        <v/>
      </c>
      <c r="G27" s="8">
        <f>IF(AND(D27&lt;&gt;"",C27&lt;&gt;"",C27&lt;&gt;0),((D27/C27)^(1/2)-1)*100,IF(AND(E27&lt;&gt;"",B27&lt;&gt;"",B27&lt;&gt;0),((E27/B27)^(1/5)-1)*100,""))</f>
        <v/>
      </c>
    </row>
    <row r="28">
      <c r="A28" s="2" t="inlineStr">
        <is>
          <t>עפולה</t>
        </is>
      </c>
      <c r="B28" s="3" t="n">
        <v>59075</v>
      </c>
      <c r="C28" s="3" t="n">
        <v>60828</v>
      </c>
      <c r="D28" s="3" t="n">
        <v>66362</v>
      </c>
      <c r="E28" s="3" t="n">
        <v>68000</v>
      </c>
      <c r="F28" s="3">
        <f>IF(AND(D28&lt;&gt;"",C28&lt;&gt;""),D28-C28,"")</f>
        <v/>
      </c>
      <c r="G28" s="4">
        <f>IF(AND(D28&lt;&gt;"",C28&lt;&gt;"",C28&lt;&gt;0),((D28/C28)^(1/2)-1)*100,IF(AND(E28&lt;&gt;"",B28&lt;&gt;"",B28&lt;&gt;0),((E28/B28)^(1/5)-1)*100,""))</f>
        <v/>
      </c>
    </row>
    <row r="29">
      <c r="A29" s="6" t="inlineStr">
        <is>
          <t>נהרייה</t>
        </is>
      </c>
      <c r="B29" s="7" t="n"/>
      <c r="C29" s="7" t="n">
        <v>63318</v>
      </c>
      <c r="D29" s="7" t="n">
        <v>67877</v>
      </c>
      <c r="E29" s="7" t="n">
        <v>67877</v>
      </c>
      <c r="F29" s="7">
        <f>IF(AND(D29&lt;&gt;"",C29&lt;&gt;""),D29-C29,"")</f>
        <v/>
      </c>
      <c r="G29" s="8">
        <f>IF(AND(D29&lt;&gt;"",C29&lt;&gt;"",C29&lt;&gt;0),((D29/C29)^(1/2)-1)*100,IF(AND(E29&lt;&gt;"",B29&lt;&gt;"",B29&lt;&gt;0),((E29/B29)^(1/5)-1)*100,""))</f>
        <v/>
      </c>
    </row>
    <row r="30">
      <c r="A30" s="2" t="inlineStr">
        <is>
          <t>הוד השרון</t>
        </is>
      </c>
      <c r="B30" s="3" t="n">
        <v>63000</v>
      </c>
      <c r="C30" s="3" t="n">
        <v>65020</v>
      </c>
      <c r="D30" s="3" t="n">
        <v>66398</v>
      </c>
      <c r="E30" s="3" t="n">
        <v>66641</v>
      </c>
      <c r="F30" s="3">
        <f>IF(AND(D30&lt;&gt;"",C30&lt;&gt;""),D30-C30,"")</f>
        <v/>
      </c>
      <c r="G30" s="4">
        <f>IF(AND(D30&lt;&gt;"",C30&lt;&gt;"",C30&lt;&gt;0),((D30/C30)^(1/2)-1)*100,IF(AND(E30&lt;&gt;"",B30&lt;&gt;"",B30&lt;&gt;0),((E30/B30)^(1/5)-1)*100,""))</f>
        <v/>
      </c>
    </row>
    <row r="31">
      <c r="A31" s="6" t="inlineStr">
        <is>
          <t>קריית אתא</t>
        </is>
      </c>
      <c r="B31" s="7" t="n">
        <v>60102</v>
      </c>
      <c r="C31" s="7" t="n">
        <v>60465</v>
      </c>
      <c r="D31" s="7" t="n">
        <v>62584</v>
      </c>
      <c r="E31" s="7" t="n">
        <v>62000</v>
      </c>
      <c r="F31" s="7">
        <f>IF(AND(D31&lt;&gt;"",C31&lt;&gt;""),D31-C31,"")</f>
        <v/>
      </c>
      <c r="G31" s="8">
        <f>IF(AND(D31&lt;&gt;"",C31&lt;&gt;"",C31&lt;&gt;0),((D31/C31)^(1/2)-1)*100,IF(AND(E31&lt;&gt;"",B31&lt;&gt;"",B31&lt;&gt;0),((E31/B31)^(1/5)-1)*100,""))</f>
        <v/>
      </c>
    </row>
    <row r="32">
      <c r="A32" s="2" t="inlineStr">
        <is>
          <t>אום אל-פחם</t>
        </is>
      </c>
      <c r="B32" s="3" t="n"/>
      <c r="C32" s="3" t="n">
        <v>57560</v>
      </c>
      <c r="D32" s="3" t="n">
        <v>60210</v>
      </c>
      <c r="E32" s="3" t="n">
        <v>60210</v>
      </c>
      <c r="F32" s="3">
        <f>IF(AND(D32&lt;&gt;"",C32&lt;&gt;""),D32-C32,"")</f>
        <v/>
      </c>
      <c r="G32" s="4">
        <f>IF(AND(D32&lt;&gt;"",C32&lt;&gt;"",C32&lt;&gt;0),((D32/C32)^(1/2)-1)*100,IF(AND(E32&lt;&gt;"",B32&lt;&gt;"",B32&lt;&gt;0),((E32/B32)^(1/5)-1)*100,""))</f>
        <v/>
      </c>
    </row>
    <row r="33">
      <c r="A33" s="6" t="inlineStr">
        <is>
          <t>גבעתיים</t>
        </is>
      </c>
      <c r="B33" s="7" t="n"/>
      <c r="C33" s="7" t="n">
        <v>58052</v>
      </c>
      <c r="D33" s="7" t="n">
        <v>58600</v>
      </c>
      <c r="E33" s="7" t="n">
        <v>58600</v>
      </c>
      <c r="F33" s="7">
        <f>IF(AND(D33&lt;&gt;"",C33&lt;&gt;""),D33-C33,"")</f>
        <v/>
      </c>
      <c r="G33" s="8">
        <f>IF(AND(D33&lt;&gt;"",C33&lt;&gt;"",C33&lt;&gt;0),((D33/C33)^(1/2)-1)*100,IF(AND(E33&lt;&gt;"",B33&lt;&gt;"",B33&lt;&gt;0),((E33/B33)^(1/5)-1)*100,""))</f>
        <v/>
      </c>
    </row>
    <row r="34">
      <c r="A34" s="2" t="inlineStr">
        <is>
          <t>יבנה</t>
        </is>
      </c>
      <c r="B34" s="3" t="n"/>
      <c r="C34" s="3" t="n">
        <v>54981</v>
      </c>
      <c r="D34" s="3" t="n">
        <v>58090</v>
      </c>
      <c r="E34" s="3" t="n">
        <v>58090</v>
      </c>
      <c r="F34" s="3">
        <f>IF(AND(D34&lt;&gt;"",C34&lt;&gt;""),D34-C34,"")</f>
        <v/>
      </c>
      <c r="G34" s="4">
        <f>IF(AND(D34&lt;&gt;"",C34&lt;&gt;"",C34&lt;&gt;0),((D34/C34)^(1/2)-1)*100,IF(AND(E34&lt;&gt;"",B34&lt;&gt;"",B34&lt;&gt;0),((E34/B34)^(1/5)-1)*100,""))</f>
        <v/>
      </c>
    </row>
    <row r="35">
      <c r="A35" s="6" t="inlineStr">
        <is>
          <t>נתיבות</t>
        </is>
      </c>
      <c r="B35" s="7" t="n">
        <v>42039</v>
      </c>
      <c r="C35" s="7" t="n">
        <v>45024</v>
      </c>
      <c r="D35" s="7" t="n">
        <v>56019</v>
      </c>
      <c r="E35" s="7" t="n">
        <v>57936</v>
      </c>
      <c r="F35" s="7">
        <f>IF(AND(D35&lt;&gt;"",C35&lt;&gt;""),D35-C35,"")</f>
        <v/>
      </c>
      <c r="G35" s="8">
        <f>IF(AND(D35&lt;&gt;"",C35&lt;&gt;"",C35&lt;&gt;0),((D35/C35)^(1/2)-1)*100,IF(AND(E35&lt;&gt;"",B35&lt;&gt;"",B35&lt;&gt;0),((E35/B35)^(1/5)-1)*100,""))</f>
        <v/>
      </c>
    </row>
    <row r="36">
      <c r="A36" s="2" t="inlineStr">
        <is>
          <t>אילת</t>
        </is>
      </c>
      <c r="B36" s="3" t="n">
        <v>52753</v>
      </c>
      <c r="C36" s="3" t="n">
        <v>55213</v>
      </c>
      <c r="D36" s="3" t="n">
        <v>56004</v>
      </c>
      <c r="E36" s="3" t="n">
        <v>57805</v>
      </c>
      <c r="F36" s="3">
        <f>IF(AND(D36&lt;&gt;"",C36&lt;&gt;""),D36-C36,"")</f>
        <v/>
      </c>
      <c r="G36" s="4">
        <f>IF(AND(D36&lt;&gt;"",C36&lt;&gt;"",C36&lt;&gt;0),((D36/C36)^(1/2)-1)*100,IF(AND(E36&lt;&gt;"",B36&lt;&gt;"",B36&lt;&gt;0),((E36/B36)^(1/5)-1)*100,""))</f>
        <v/>
      </c>
    </row>
    <row r="37">
      <c r="A37" s="6" t="inlineStr">
        <is>
          <t>טבריה</t>
        </is>
      </c>
      <c r="B37" s="7" t="n">
        <v>46698</v>
      </c>
      <c r="C37" s="7" t="n">
        <v>48509</v>
      </c>
      <c r="D37" s="7" t="n">
        <v>52122</v>
      </c>
      <c r="E37" s="7" t="n">
        <v>55000</v>
      </c>
      <c r="F37" s="7">
        <f>IF(AND(D37&lt;&gt;"",C37&lt;&gt;""),D37-C37,"")</f>
        <v/>
      </c>
      <c r="G37" s="8">
        <f>IF(AND(D37&lt;&gt;"",C37&lt;&gt;"",C37&lt;&gt;0),((D37/C37)^(1/2)-1)*100,IF(AND(E37&lt;&gt;"",B37&lt;&gt;"",B37&lt;&gt;0),((E37/B37)^(1/5)-1)*100,""))</f>
        <v/>
      </c>
    </row>
    <row r="38">
      <c r="A38" s="2" t="inlineStr">
        <is>
          <t>עכו</t>
        </is>
      </c>
      <c r="B38" s="3" t="n">
        <v>49614</v>
      </c>
      <c r="C38" s="3" t="n">
        <v>50555</v>
      </c>
      <c r="D38" s="3" t="n">
        <v>52884</v>
      </c>
      <c r="E38" s="3" t="n">
        <v>53891</v>
      </c>
      <c r="F38" s="3">
        <f>IF(AND(D38&lt;&gt;"",C38&lt;&gt;""),D38-C38,"")</f>
        <v/>
      </c>
      <c r="G38" s="4">
        <f>IF(AND(D38&lt;&gt;"",C38&lt;&gt;"",C38&lt;&gt;0),((D38/C38)^(1/2)-1)*100,IF(AND(E38&lt;&gt;"",B38&lt;&gt;"",B38&lt;&gt;0),((E38/B38)^(1/5)-1)*100,""))</f>
        <v/>
      </c>
    </row>
    <row r="39">
      <c r="A39" s="6" t="inlineStr">
        <is>
          <t>קריית מוצקין</t>
        </is>
      </c>
      <c r="B39" s="7" t="n"/>
      <c r="C39" s="7" t="n">
        <v>49057</v>
      </c>
      <c r="D39" s="7" t="n">
        <v>51488</v>
      </c>
      <c r="E39" s="7" t="n">
        <v>51488</v>
      </c>
      <c r="F39" s="7">
        <f>IF(AND(D39&lt;&gt;"",C39&lt;&gt;""),D39-C39,"")</f>
        <v/>
      </c>
      <c r="G39" s="8">
        <f>IF(AND(D39&lt;&gt;"",C39&lt;&gt;"",C39&lt;&gt;0),((D39/C39)^(1/2)-1)*100,IF(AND(E39&lt;&gt;"",B39&lt;&gt;"",B39&lt;&gt;0),((E39/B39)^(1/5)-1)*100,""))</f>
        <v/>
      </c>
    </row>
    <row r="40">
      <c r="A40" s="2" t="inlineStr">
        <is>
          <t>אלעד</t>
        </is>
      </c>
      <c r="B40" s="3" t="n">
        <v>49593</v>
      </c>
      <c r="C40" s="3" t="n">
        <v>48825</v>
      </c>
      <c r="D40" s="3" t="n">
        <v>50845</v>
      </c>
      <c r="E40" s="3" t="n">
        <v>50711</v>
      </c>
      <c r="F40" s="3">
        <f>IF(AND(D40&lt;&gt;"",C40&lt;&gt;""),D40-C40,"")</f>
        <v/>
      </c>
      <c r="G40" s="4">
        <f>IF(AND(D40&lt;&gt;"",C40&lt;&gt;"",C40&lt;&gt;0),((D40/C40)^(1/2)-1)*100,IF(AND(E40&lt;&gt;"",B40&lt;&gt;"",B40&lt;&gt;0),((E40/B40)^(1/5)-1)*100,""))</f>
        <v/>
      </c>
    </row>
    <row r="41">
      <c r="A41" s="6" t="inlineStr">
        <is>
          <t>רמת השרון</t>
        </is>
      </c>
      <c r="B41" s="7" t="n">
        <v>47970</v>
      </c>
      <c r="C41" s="7" t="n">
        <v>48986</v>
      </c>
      <c r="D41" s="7" t="n">
        <v>48860</v>
      </c>
      <c r="E41" s="7" t="n">
        <v>49000</v>
      </c>
      <c r="F41" s="7">
        <f>IF(AND(D41&lt;&gt;"",C41&lt;&gt;""),D41-C41,"")</f>
        <v/>
      </c>
      <c r="G41" s="8">
        <f>IF(AND(D41&lt;&gt;"",C41&lt;&gt;"",C41&lt;&gt;0),((D41/C41)^(1/2)-1)*100,IF(AND(E41&lt;&gt;"",B41&lt;&gt;"",B41&lt;&gt;0),((E41/B41)^(1/5)-1)*100,""))</f>
        <v/>
      </c>
    </row>
    <row r="42">
      <c r="A42" s="2" t="inlineStr">
        <is>
          <t>קריית ביאליק</t>
        </is>
      </c>
      <c r="B42" s="3" t="n">
        <v>43267</v>
      </c>
      <c r="C42" s="3" t="n">
        <v>44806</v>
      </c>
      <c r="D42" s="3" t="n">
        <v>47072</v>
      </c>
      <c r="E42" s="3" t="n">
        <v>48465</v>
      </c>
      <c r="F42" s="3">
        <f>IF(AND(D42&lt;&gt;"",C42&lt;&gt;""),D42-C42,"")</f>
        <v/>
      </c>
      <c r="G42" s="4">
        <f>IF(AND(D42&lt;&gt;"",C42&lt;&gt;"",C42&lt;&gt;0),((D42/C42)^(1/2)-1)*100,IF(AND(E42&lt;&gt;"",B42&lt;&gt;"",B42&lt;&gt;0),((E42/B42)^(1/5)-1)*100,""))</f>
        <v/>
      </c>
    </row>
    <row r="43">
      <c r="A43" s="6" t="inlineStr">
        <is>
          <t>כרמיאל</t>
        </is>
      </c>
      <c r="B43" s="7" t="n"/>
      <c r="C43" s="7" t="n">
        <v>47450</v>
      </c>
      <c r="D43" s="7" t="n">
        <v>47941</v>
      </c>
      <c r="E43" s="7" t="n">
        <v>47941</v>
      </c>
      <c r="F43" s="7">
        <f>IF(AND(D43&lt;&gt;"",C43&lt;&gt;""),D43-C43,"")</f>
        <v/>
      </c>
      <c r="G43" s="8">
        <f>IF(AND(D43&lt;&gt;"",C43&lt;&gt;"",C43&lt;&gt;0),((D43/C43)^(1/2)-1)*100,IF(AND(E43&lt;&gt;"",B43&lt;&gt;"",B43&lt;&gt;0),((E43/B43)^(1/5)-1)*100,""))</f>
        <v/>
      </c>
    </row>
    <row r="44">
      <c r="A44" s="2" t="inlineStr">
        <is>
          <t>נס ציונה</t>
        </is>
      </c>
      <c r="B44" s="3" t="n"/>
      <c r="C44" s="3" t="n">
        <v>47620</v>
      </c>
      <c r="D44" s="3" t="n">
        <v>47268</v>
      </c>
      <c r="E44" s="3" t="n">
        <v>47268</v>
      </c>
      <c r="F44" s="3">
        <f>IF(AND(D44&lt;&gt;"",C44&lt;&gt;""),D44-C44,"")</f>
        <v/>
      </c>
      <c r="G44" s="4">
        <f>IF(AND(D44&lt;&gt;"",C44&lt;&gt;"",C44&lt;&gt;0),((D44/C44)^(1/2)-1)*100,IF(AND(E44&lt;&gt;"",B44&lt;&gt;"",B44&lt;&gt;0),((E44/B44)^(1/5)-1)*100,""))</f>
        <v/>
      </c>
    </row>
    <row r="45">
      <c r="A45" s="6" t="inlineStr">
        <is>
          <t>טייבה</t>
        </is>
      </c>
      <c r="B45" s="7" t="n"/>
      <c r="C45" s="7" t="n">
        <v>45071</v>
      </c>
      <c r="D45" s="7" t="n">
        <v>46870</v>
      </c>
      <c r="E45" s="7" t="n">
        <v>46870</v>
      </c>
      <c r="F45" s="7">
        <f>IF(AND(D45&lt;&gt;"",C45&lt;&gt;""),D45-C45,"")</f>
        <v/>
      </c>
      <c r="G45" s="8">
        <f>IF(AND(D45&lt;&gt;"",C45&lt;&gt;"",C45&lt;&gt;0),((D45/C45)^(1/2)-1)*100,IF(AND(E45&lt;&gt;"",B45&lt;&gt;"",B45&lt;&gt;0),((E45/B45)^(1/5)-1)*100,""))</f>
        <v/>
      </c>
    </row>
    <row r="46">
      <c r="A46" s="2" t="inlineStr">
        <is>
          <t>פרדס חנה-כרכור</t>
        </is>
      </c>
      <c r="B46" s="3" t="n"/>
      <c r="C46" s="3" t="n">
        <v>44161</v>
      </c>
      <c r="D46" s="3" t="n">
        <v>46601</v>
      </c>
      <c r="E46" s="3" t="n">
        <v>46601</v>
      </c>
      <c r="F46" s="3">
        <f>IF(AND(D46&lt;&gt;"",C46&lt;&gt;""),D46-C46,"")</f>
        <v/>
      </c>
      <c r="G46" s="4">
        <f>IF(AND(D46&lt;&gt;"",C46&lt;&gt;"",C46&lt;&gt;0),((D46/C46)^(1/2)-1)*100,IF(AND(E46&lt;&gt;"",B46&lt;&gt;"",B46&lt;&gt;0),((E46/B46)^(1/5)-1)*100,""))</f>
        <v/>
      </c>
    </row>
    <row r="47">
      <c r="A47" s="6" t="inlineStr">
        <is>
          <t>נוף הגליל</t>
        </is>
      </c>
      <c r="B47" s="7" t="n">
        <v>42657</v>
      </c>
      <c r="C47" s="7" t="n">
        <v>43479</v>
      </c>
      <c r="D47" s="7" t="n">
        <v>45805</v>
      </c>
      <c r="E47" s="7" t="n">
        <v>46196</v>
      </c>
      <c r="F47" s="7">
        <f>IF(AND(D47&lt;&gt;"",C47&lt;&gt;""),D47-C47,"")</f>
        <v/>
      </c>
      <c r="G47" s="8">
        <f>IF(AND(D47&lt;&gt;"",C47&lt;&gt;"",C47&lt;&gt;0),((D47/C47)^(1/2)-1)*100,IF(AND(E47&lt;&gt;"",B47&lt;&gt;"",B47&lt;&gt;0),((E47/B47)^(1/5)-1)*100,""))</f>
        <v/>
      </c>
    </row>
    <row r="48">
      <c r="A48" s="2" t="inlineStr">
        <is>
          <t>קריית אונו</t>
        </is>
      </c>
      <c r="B48" s="3" t="n"/>
      <c r="C48" s="3" t="n">
        <v>41537</v>
      </c>
      <c r="D48" s="3" t="n">
        <v>45048</v>
      </c>
      <c r="E48" s="3" t="n">
        <v>45048</v>
      </c>
      <c r="F48" s="3">
        <f>IF(AND(D48&lt;&gt;"",C48&lt;&gt;""),D48-C48,"")</f>
        <v/>
      </c>
      <c r="G48" s="4">
        <f>IF(AND(D48&lt;&gt;"",C48&lt;&gt;"",C48&lt;&gt;0),((D48/C48)^(1/2)-1)*100,IF(AND(E48&lt;&gt;"",B48&lt;&gt;"",B48&lt;&gt;0),((E48/B48)^(1/5)-1)*100,""))</f>
        <v/>
      </c>
    </row>
    <row r="49">
      <c r="A49" s="6" t="inlineStr">
        <is>
          <t>שפרעם</t>
        </is>
      </c>
      <c r="B49" s="7" t="n"/>
      <c r="C49" s="7" t="n">
        <v>42713</v>
      </c>
      <c r="D49" s="7" t="n">
        <v>43858</v>
      </c>
      <c r="E49" s="7" t="n">
        <v>43858</v>
      </c>
      <c r="F49" s="7">
        <f>IF(AND(D49&lt;&gt;"",C49&lt;&gt;""),D49-C49,"")</f>
        <v/>
      </c>
      <c r="G49" s="8">
        <f>IF(AND(D49&lt;&gt;"",C49&lt;&gt;"",C49&lt;&gt;0),((D49/C49)^(1/2)-1)*100,IF(AND(E49&lt;&gt;"",B49&lt;&gt;"",B49&lt;&gt;0),((E49/B49)^(1/5)-1)*100,""))</f>
        <v/>
      </c>
    </row>
    <row r="50">
      <c r="A50" s="2" t="inlineStr">
        <is>
          <t>אור יהודה</t>
        </is>
      </c>
      <c r="B50" s="3" t="n">
        <v>36815</v>
      </c>
      <c r="C50" s="3" t="n">
        <v>36850</v>
      </c>
      <c r="D50" s="3" t="n">
        <v>41130</v>
      </c>
      <c r="E50" s="3" t="n">
        <v>42000</v>
      </c>
      <c r="F50" s="3">
        <f>IF(AND(D50&lt;&gt;"",C50&lt;&gt;""),D50-C50,"")</f>
        <v/>
      </c>
      <c r="G50" s="4">
        <f>IF(AND(D50&lt;&gt;"",C50&lt;&gt;"",C50&lt;&gt;0),((D50/C50)^(1/2)-1)*100,IF(AND(E50&lt;&gt;"",B50&lt;&gt;"",B50&lt;&gt;0),((E50/B50)^(1/5)-1)*100,""))</f>
        <v/>
      </c>
    </row>
    <row r="51">
      <c r="A51" s="6" t="inlineStr">
        <is>
          <t>קריית ים</t>
        </is>
      </c>
      <c r="B51" s="7" t="n"/>
      <c r="C51" s="7" t="n">
        <v>38906</v>
      </c>
      <c r="D51" s="7" t="n">
        <v>41959</v>
      </c>
      <c r="E51" s="7" t="n">
        <v>41959</v>
      </c>
      <c r="F51" s="7">
        <f>IF(AND(D51&lt;&gt;"",C51&lt;&gt;""),D51-C51,"")</f>
        <v/>
      </c>
      <c r="G51" s="8">
        <f>IF(AND(D51&lt;&gt;"",C51&lt;&gt;"",C51&lt;&gt;0),((D51/C51)^(1/2)-1)*100,IF(AND(E51&lt;&gt;"",B51&lt;&gt;"",B51&lt;&gt;0),((E51/B51)^(1/5)-1)*100,""))</f>
        <v/>
      </c>
    </row>
    <row r="52">
      <c r="A52" s="2" t="inlineStr">
        <is>
          <t>אופקים</t>
        </is>
      </c>
      <c r="B52" s="3" t="n">
        <v>33999</v>
      </c>
      <c r="C52" s="3" t="n">
        <v>35355</v>
      </c>
      <c r="D52" s="3" t="n">
        <v>39894</v>
      </c>
      <c r="E52" s="3" t="n">
        <v>41925</v>
      </c>
      <c r="F52" s="3">
        <f>IF(AND(D52&lt;&gt;"",C52&lt;&gt;""),D52-C52,"")</f>
        <v/>
      </c>
      <c r="G52" s="4">
        <f>IF(AND(D52&lt;&gt;"",C52&lt;&gt;"",C52&lt;&gt;0),((D52/C52)^(1/2)-1)*100,IF(AND(E52&lt;&gt;"",B52&lt;&gt;"",B52&lt;&gt;0),((E52/B52)^(1/5)-1)*100,""))</f>
        <v/>
      </c>
    </row>
    <row r="53">
      <c r="A53" s="6" t="inlineStr">
        <is>
          <t>חריש</t>
        </is>
      </c>
      <c r="B53" s="7" t="n"/>
      <c r="C53" s="7" t="n">
        <v>31733</v>
      </c>
      <c r="D53" s="7" t="n">
        <v>41574</v>
      </c>
      <c r="E53" s="7" t="n">
        <v>41574</v>
      </c>
      <c r="F53" s="7">
        <f>IF(AND(D53&lt;&gt;"",C53&lt;&gt;""),D53-C53,"")</f>
        <v/>
      </c>
      <c r="G53" s="8">
        <f>IF(AND(D53&lt;&gt;"",C53&lt;&gt;"",C53&lt;&gt;0),((D53/C53)^(1/2)-1)*100,IF(AND(E53&lt;&gt;"",B53&lt;&gt;"",B53&lt;&gt;0),((E53/B53)^(1/5)-1)*100,""))</f>
        <v/>
      </c>
    </row>
    <row r="54">
      <c r="A54" s="2" t="inlineStr">
        <is>
          <t>דימונה</t>
        </is>
      </c>
      <c r="B54" s="3" t="n"/>
      <c r="C54" s="3" t="n">
        <v>37213</v>
      </c>
      <c r="D54" s="3" t="n">
        <v>39590</v>
      </c>
      <c r="E54" s="3" t="n">
        <v>39590</v>
      </c>
      <c r="F54" s="3">
        <f>IF(AND(D54&lt;&gt;"",C54&lt;&gt;""),D54-C54,"")</f>
        <v/>
      </c>
      <c r="G54" s="4">
        <f>IF(AND(D54&lt;&gt;"",C54&lt;&gt;"",C54&lt;&gt;0),((D54/C54)^(1/2)-1)*100,IF(AND(E54&lt;&gt;"",B54&lt;&gt;"",B54&lt;&gt;0),((E54/B54)^(1/5)-1)*100,""))</f>
        <v/>
      </c>
    </row>
    <row r="55">
      <c r="A55" s="6" t="inlineStr">
        <is>
          <t>צפת</t>
        </is>
      </c>
      <c r="B55" s="7" t="n"/>
      <c r="C55" s="7" t="n">
        <v>37801</v>
      </c>
      <c r="D55" s="7" t="n">
        <v>38687</v>
      </c>
      <c r="E55" s="7" t="n">
        <v>38687</v>
      </c>
      <c r="F55" s="7">
        <f>IF(AND(D55&lt;&gt;"",C55&lt;&gt;""),D55-C55,"")</f>
        <v/>
      </c>
      <c r="G55" s="8">
        <f>IF(AND(D55&lt;&gt;"",C55&lt;&gt;"",C55&lt;&gt;0),((D55/C55)^(1/2)-1)*100,IF(AND(E55&lt;&gt;"",B55&lt;&gt;"",B55&lt;&gt;0),((E55/B55)^(1/5)-1)*100,""))</f>
        <v/>
      </c>
    </row>
    <row r="56">
      <c r="A56" s="2" t="inlineStr">
        <is>
          <t>שדרות</t>
        </is>
      </c>
      <c r="B56" s="3" t="n"/>
      <c r="C56" s="3" t="n">
        <v>31108</v>
      </c>
      <c r="D56" s="3" t="n">
        <v>37239</v>
      </c>
      <c r="E56" s="3" t="n">
        <v>37239</v>
      </c>
      <c r="F56" s="3">
        <f>IF(AND(D56&lt;&gt;"",C56&lt;&gt;""),D56-C56,"")</f>
        <v/>
      </c>
      <c r="G56" s="4">
        <f>IF(AND(D56&lt;&gt;"",C56&lt;&gt;"",C56&lt;&gt;0),((D56/C56)^(1/2)-1)*100,IF(AND(E56&lt;&gt;"",B56&lt;&gt;"",B56&lt;&gt;0),((E56/B56)^(1/5)-1)*100,""))</f>
        <v/>
      </c>
    </row>
    <row r="57">
      <c r="A57" s="6" t="inlineStr">
        <is>
          <t>טמרה</t>
        </is>
      </c>
      <c r="B57" s="7" t="n"/>
      <c r="C57" s="7" t="n">
        <v>35349</v>
      </c>
      <c r="D57" s="7" t="n">
        <v>36919</v>
      </c>
      <c r="E57" s="7" t="n">
        <v>36919</v>
      </c>
      <c r="F57" s="7">
        <f>IF(AND(D57&lt;&gt;"",C57&lt;&gt;""),D57-C57,"")</f>
        <v/>
      </c>
      <c r="G57" s="8">
        <f>IF(AND(D57&lt;&gt;"",C57&lt;&gt;"",C57&lt;&gt;0),((D57/C57)^(1/2)-1)*100,IF(AND(E57&lt;&gt;"",B57&lt;&gt;"",B57&lt;&gt;0),((E57/B57)^(1/5)-1)*100,""))</f>
        <v/>
      </c>
    </row>
    <row r="58">
      <c r="A58" s="2" t="inlineStr">
        <is>
          <t>באר יעקב</t>
        </is>
      </c>
      <c r="B58" s="3" t="n">
        <v>29852</v>
      </c>
      <c r="C58" s="3" t="n">
        <v>31439</v>
      </c>
      <c r="D58" s="3" t="n">
        <v>37493</v>
      </c>
      <c r="E58" s="3" t="n">
        <v>36409</v>
      </c>
      <c r="F58" s="3">
        <f>IF(AND(D58&lt;&gt;"",C58&lt;&gt;""),D58-C58,"")</f>
        <v/>
      </c>
      <c r="G58" s="4">
        <f>IF(AND(D58&lt;&gt;"",C58&lt;&gt;"",C58&lt;&gt;0),((D58/C58)^(1/2)-1)*100,IF(AND(E58&lt;&gt;"",B58&lt;&gt;"",B58&lt;&gt;0),((E58/B58)^(1/5)-1)*100,""))</f>
        <v/>
      </c>
    </row>
    <row r="59">
      <c r="A59" s="6" t="inlineStr">
        <is>
          <t>סח'נין</t>
        </is>
      </c>
      <c r="B59" s="7" t="n"/>
      <c r="C59" s="7" t="n">
        <v>32355</v>
      </c>
      <c r="D59" s="7" t="n">
        <v>33726</v>
      </c>
      <c r="E59" s="7" t="n">
        <v>33726</v>
      </c>
      <c r="F59" s="7">
        <f>IF(AND(D59&lt;&gt;"",C59&lt;&gt;""),D59-C59,"")</f>
        <v/>
      </c>
      <c r="G59" s="8">
        <f>IF(AND(D59&lt;&gt;"",C59&lt;&gt;"",C59&lt;&gt;0),((D59/C59)^(1/2)-1)*100,IF(AND(E59&lt;&gt;"",B59&lt;&gt;"",B59&lt;&gt;0),((E59/B59)^(1/5)-1)*100,""))</f>
        <v/>
      </c>
    </row>
    <row r="60">
      <c r="A60" s="2" t="inlineStr">
        <is>
          <t>טירת כרמל</t>
        </is>
      </c>
      <c r="B60" s="3" t="n"/>
      <c r="C60" s="3" t="n">
        <v>29069</v>
      </c>
      <c r="D60" s="3" t="n">
        <v>32166</v>
      </c>
      <c r="E60" s="3" t="n">
        <v>32166</v>
      </c>
      <c r="F60" s="3">
        <f>IF(AND(D60&lt;&gt;"",C60&lt;&gt;""),D60-C60,"")</f>
        <v/>
      </c>
      <c r="G60" s="4">
        <f>IF(AND(D60&lt;&gt;"",C60&lt;&gt;"",C60&lt;&gt;0),((D60/C60)^(1/2)-1)*100,IF(AND(E60&lt;&gt;"",B60&lt;&gt;"",B60&lt;&gt;0),((E60/B60)^(1/5)-1)*100,""))</f>
        <v/>
      </c>
    </row>
    <row r="61">
      <c r="A61" s="6" t="inlineStr">
        <is>
          <t>יהוד-מונוסון</t>
        </is>
      </c>
      <c r="B61" s="7" t="n">
        <v>30619</v>
      </c>
      <c r="C61" s="7" t="n">
        <v>30977</v>
      </c>
      <c r="D61" s="7" t="n">
        <v>32145</v>
      </c>
      <c r="E61" s="7" t="n">
        <v>31826</v>
      </c>
      <c r="F61" s="7">
        <f>IF(AND(D61&lt;&gt;"",C61&lt;&gt;""),D61-C61,"")</f>
        <v/>
      </c>
      <c r="G61" s="8">
        <f>IF(AND(D61&lt;&gt;"",C61&lt;&gt;"",C61&lt;&gt;0),((D61/C61)^(1/2)-1)*100,IF(AND(E61&lt;&gt;"",B61&lt;&gt;"",B61&lt;&gt;0),((E61/B61)^(1/5)-1)*100,""))</f>
        <v/>
      </c>
    </row>
    <row r="62">
      <c r="A62" s="2" t="inlineStr">
        <is>
          <t>גדרה</t>
        </is>
      </c>
      <c r="B62" s="3" t="n"/>
      <c r="C62" s="3" t="n">
        <v>29260</v>
      </c>
      <c r="D62" s="3" t="n">
        <v>31389</v>
      </c>
      <c r="E62" s="3" t="n">
        <v>31389</v>
      </c>
      <c r="F62" s="3">
        <f>IF(AND(D62&lt;&gt;"",C62&lt;&gt;""),D62-C62,"")</f>
        <v/>
      </c>
      <c r="G62" s="4">
        <f>IF(AND(D62&lt;&gt;"",C62&lt;&gt;"",C62&lt;&gt;0),((D62/C62)^(1/2)-1)*100,IF(AND(E62&lt;&gt;"",B62&lt;&gt;"",B62&lt;&gt;0),((E62/B62)^(1/5)-1)*100,""))</f>
        <v/>
      </c>
    </row>
    <row r="63">
      <c r="A63" s="6" t="inlineStr">
        <is>
          <t>באקה אל-גרביה</t>
        </is>
      </c>
      <c r="B63" s="7" t="n"/>
      <c r="C63" s="7" t="n">
        <v>29868</v>
      </c>
      <c r="D63" s="7" t="n">
        <v>31276</v>
      </c>
      <c r="E63" s="7" t="n">
        <v>31276</v>
      </c>
      <c r="F63" s="7">
        <f>IF(AND(D63&lt;&gt;"",C63&lt;&gt;""),D63-C63,"")</f>
        <v/>
      </c>
      <c r="G63" s="8">
        <f>IF(AND(D63&lt;&gt;"",C63&lt;&gt;"",C63&lt;&gt;0),((D63/C63)^(1/2)-1)*100,IF(AND(E63&lt;&gt;"",B63&lt;&gt;"",B63&lt;&gt;0),((E63/B63)^(1/5)-1)*100,""))</f>
        <v/>
      </c>
    </row>
    <row r="64">
      <c r="A64" s="2" t="inlineStr">
        <is>
          <t>גבעת שמואל</t>
        </is>
      </c>
      <c r="B64" s="3" t="n">
        <v>28162</v>
      </c>
      <c r="C64" s="3" t="n">
        <v>27472</v>
      </c>
      <c r="D64" s="3" t="n">
        <v>29405</v>
      </c>
      <c r="E64" s="3" t="n">
        <v>30317</v>
      </c>
      <c r="F64" s="3">
        <f>IF(AND(D64&lt;&gt;"",C64&lt;&gt;""),D64-C64,"")</f>
        <v/>
      </c>
      <c r="G64" s="4">
        <f>IF(AND(D64&lt;&gt;"",C64&lt;&gt;"",C64&lt;&gt;0),((D64/C64)^(1/2)-1)*100,IF(AND(E64&lt;&gt;"",B64&lt;&gt;"",B64&lt;&gt;0),((E64/B64)^(1/5)-1)*100,""))</f>
        <v/>
      </c>
    </row>
    <row r="65">
      <c r="A65" s="6" t="inlineStr">
        <is>
          <t>כפר יונה</t>
        </is>
      </c>
      <c r="B65" s="7" t="n"/>
      <c r="C65" s="7" t="n">
        <v>28135</v>
      </c>
      <c r="D65" s="7" t="n">
        <v>29820</v>
      </c>
      <c r="E65" s="7" t="n">
        <v>29820</v>
      </c>
      <c r="F65" s="7">
        <f>IF(AND(D65&lt;&gt;"",C65&lt;&gt;""),D65-C65,"")</f>
        <v/>
      </c>
      <c r="G65" s="8">
        <f>IF(AND(D65&lt;&gt;"",C65&lt;&gt;"",C65&lt;&gt;0),((D65/C65)^(1/2)-1)*100,IF(AND(E65&lt;&gt;"",B65&lt;&gt;"",B65&lt;&gt;0),((E65/B65)^(1/5)-1)*100,""))</f>
        <v/>
      </c>
    </row>
    <row r="66">
      <c r="A66" s="2" t="inlineStr">
        <is>
          <t>ערד</t>
        </is>
      </c>
      <c r="B66" s="3" t="n"/>
      <c r="C66" s="3" t="n">
        <v>27586</v>
      </c>
      <c r="D66" s="3" t="n">
        <v>29505</v>
      </c>
      <c r="E66" s="3" t="n">
        <v>29505</v>
      </c>
      <c r="F66" s="3">
        <f>IF(AND(D66&lt;&gt;"",C66&lt;&gt;""),D66-C66,"")</f>
        <v/>
      </c>
      <c r="G66" s="4">
        <f>IF(AND(D66&lt;&gt;"",C66&lt;&gt;"",C66&lt;&gt;0),((D66/C66)^(1/2)-1)*100,IF(AND(E66&lt;&gt;"",B66&lt;&gt;"",B66&lt;&gt;0),((E66/B66)^(1/5)-1)*100,""))</f>
        <v/>
      </c>
    </row>
    <row r="67">
      <c r="A67" s="6" t="inlineStr">
        <is>
          <t>מגדל העמק</t>
        </is>
      </c>
      <c r="B67" s="7" t="n"/>
      <c r="C67" s="7" t="n">
        <v>27045</v>
      </c>
      <c r="D67" s="7" t="n">
        <v>28431</v>
      </c>
      <c r="E67" s="7" t="n">
        <v>28431</v>
      </c>
      <c r="F67" s="7">
        <f>IF(AND(D67&lt;&gt;"",C67&lt;&gt;""),D67-C67,"")</f>
        <v/>
      </c>
      <c r="G67" s="8">
        <f>IF(AND(D67&lt;&gt;"",C67&lt;&gt;"",C67&lt;&gt;0),((D67/C67)^(1/2)-1)*100,IF(AND(E67&lt;&gt;"",B67&lt;&gt;"",B67&lt;&gt;0),((E67/B67)^(1/5)-1)*100,""))</f>
        <v/>
      </c>
    </row>
    <row r="68">
      <c r="A68" s="2" t="inlineStr">
        <is>
          <t>כפר קאסם</t>
        </is>
      </c>
      <c r="B68" s="3" t="n"/>
      <c r="C68" s="3" t="n">
        <v>26389</v>
      </c>
      <c r="D68" s="3" t="n">
        <v>27997</v>
      </c>
      <c r="E68" s="3" t="n">
        <v>27997</v>
      </c>
      <c r="F68" s="3">
        <f>IF(AND(D68&lt;&gt;"",C68&lt;&gt;""),D68-C68,"")</f>
        <v/>
      </c>
      <c r="G68" s="4">
        <f>IF(AND(D68&lt;&gt;"",C68&lt;&gt;"",C68&lt;&gt;0),((D68/C68)^(1/2)-1)*100,IF(AND(E68&lt;&gt;"",B68&lt;&gt;"",B68&lt;&gt;0),((E68/B68)^(1/5)-1)*100,""))</f>
        <v/>
      </c>
    </row>
    <row r="69">
      <c r="A69" s="6" t="inlineStr">
        <is>
          <t>קריית מלאכי</t>
        </is>
      </c>
      <c r="B69" s="7" t="n"/>
      <c r="C69" s="7" t="n">
        <v>26362</v>
      </c>
      <c r="D69" s="7" t="n">
        <v>27957</v>
      </c>
      <c r="E69" s="7" t="n">
        <v>27957</v>
      </c>
      <c r="F69" s="7">
        <f>IF(AND(D69&lt;&gt;"",C69&lt;&gt;""),D69-C69,"")</f>
        <v/>
      </c>
      <c r="G69" s="8">
        <f>IF(AND(D69&lt;&gt;"",C69&lt;&gt;"",C69&lt;&gt;0),((D69/C69)^(1/2)-1)*100,IF(AND(E69&lt;&gt;"",B69&lt;&gt;"",B69&lt;&gt;0),((E69/B69)^(1/5)-1)*100,""))</f>
        <v/>
      </c>
    </row>
    <row r="70">
      <c r="A70" s="2" t="inlineStr">
        <is>
          <t>טירה</t>
        </is>
      </c>
      <c r="B70" s="3" t="n"/>
      <c r="C70" s="3" t="n">
        <v>26567</v>
      </c>
      <c r="D70" s="3" t="n">
        <v>27680</v>
      </c>
      <c r="E70" s="3" t="n">
        <v>27680</v>
      </c>
      <c r="F70" s="3">
        <f>IF(AND(D70&lt;&gt;"",C70&lt;&gt;""),D70-C70,"")</f>
        <v/>
      </c>
      <c r="G70" s="4">
        <f>IF(AND(D70&lt;&gt;"",C70&lt;&gt;"",C70&lt;&gt;0),((D70/C70)^(1/2)-1)*100,IF(AND(E70&lt;&gt;"",B70&lt;&gt;"",B70&lt;&gt;0),((E70/B70)^(1/5)-1)*100,""))</f>
        <v/>
      </c>
    </row>
    <row r="71">
      <c r="A71" s="6" t="inlineStr">
        <is>
          <t>עראבה</t>
        </is>
      </c>
      <c r="B71" s="7" t="n"/>
      <c r="C71" s="7" t="n">
        <v>26119</v>
      </c>
      <c r="D71" s="7" t="n">
        <v>27175</v>
      </c>
      <c r="E71" s="7" t="n">
        <v>27175</v>
      </c>
      <c r="F71" s="7">
        <f>IF(AND(D71&lt;&gt;"",C71&lt;&gt;""),D71-C71,"")</f>
        <v/>
      </c>
      <c r="G71" s="8">
        <f>IF(AND(D71&lt;&gt;"",C71&lt;&gt;"",C71&lt;&gt;0),((D71/C71)^(1/2)-1)*100,IF(AND(E71&lt;&gt;"",B71&lt;&gt;"",B71&lt;&gt;0),((E71/B71)^(1/5)-1)*100,""))</f>
        <v/>
      </c>
    </row>
    <row r="72">
      <c r="A72" s="2" t="inlineStr">
        <is>
          <t>מבשרת ציון</t>
        </is>
      </c>
      <c r="B72" s="3" t="n"/>
      <c r="C72" s="3" t="n">
        <v>25476</v>
      </c>
      <c r="D72" s="3" t="n">
        <v>26534</v>
      </c>
      <c r="E72" s="3" t="n">
        <v>26534</v>
      </c>
      <c r="F72" s="3">
        <f>IF(AND(D72&lt;&gt;"",C72&lt;&gt;""),D72-C72,"")</f>
        <v/>
      </c>
      <c r="G72" s="4">
        <f>IF(AND(D72&lt;&gt;"",C72&lt;&gt;"",C72&lt;&gt;0),((D72/C72)^(1/2)-1)*100,IF(AND(E72&lt;&gt;"",B72&lt;&gt;"",B72&lt;&gt;0),((E72/B72)^(1/5)-1)*100,""))</f>
        <v/>
      </c>
    </row>
    <row r="73">
      <c r="A73" s="6" t="inlineStr">
        <is>
          <t>אור עקיבא</t>
        </is>
      </c>
      <c r="B73" s="7" t="n"/>
      <c r="C73" s="7" t="n">
        <v>22173</v>
      </c>
      <c r="D73" s="7" t="n">
        <v>25922</v>
      </c>
      <c r="E73" s="7" t="n">
        <v>25922</v>
      </c>
      <c r="F73" s="7">
        <f>IF(AND(D73&lt;&gt;"",C73&lt;&gt;""),D73-C73,"")</f>
        <v/>
      </c>
      <c r="G73" s="8">
        <f>IF(AND(D73&lt;&gt;"",C73&lt;&gt;"",C73&lt;&gt;0),((D73/C73)^(1/2)-1)*100,IF(AND(E73&lt;&gt;"",B73&lt;&gt;"",B73&lt;&gt;0),((E73/B73)^(1/5)-1)*100,""))</f>
        <v/>
      </c>
    </row>
    <row r="74">
      <c r="A74" s="2" t="inlineStr">
        <is>
          <t>גני תקווה</t>
        </is>
      </c>
      <c r="B74" s="3" t="n"/>
      <c r="C74" s="3" t="n">
        <v>23650</v>
      </c>
      <c r="D74" s="3" t="n">
        <v>25487</v>
      </c>
      <c r="E74" s="3" t="n">
        <v>25487</v>
      </c>
      <c r="F74" s="3">
        <f>IF(AND(D74&lt;&gt;"",C74&lt;&gt;""),D74-C74,"")</f>
        <v/>
      </c>
      <c r="G74" s="4">
        <f>IF(AND(D74&lt;&gt;"",C74&lt;&gt;"",C74&lt;&gt;0),((D74/C74)^(1/2)-1)*100,IF(AND(E74&lt;&gt;"",B74&lt;&gt;"",B74&lt;&gt;0),((E74/B74)^(1/5)-1)*100,""))</f>
        <v/>
      </c>
    </row>
    <row r="75">
      <c r="A75" s="6" t="inlineStr">
        <is>
          <t>כפר כנא</t>
        </is>
      </c>
      <c r="B75" s="7" t="n"/>
      <c r="C75" s="7" t="n">
        <v>24262</v>
      </c>
      <c r="D75" s="7" t="n">
        <v>25375</v>
      </c>
      <c r="E75" s="7" t="n">
        <v>25375</v>
      </c>
      <c r="F75" s="7">
        <f>IF(AND(D75&lt;&gt;"",C75&lt;&gt;""),D75-C75,"")</f>
        <v/>
      </c>
      <c r="G75" s="8">
        <f>IF(AND(D75&lt;&gt;"",C75&lt;&gt;"",C75&lt;&gt;0),((D75/C75)^(1/2)-1)*100,IF(AND(E75&lt;&gt;"",B75&lt;&gt;"",B75&lt;&gt;0),((E75/B75)^(1/5)-1)*100,""))</f>
        <v/>
      </c>
    </row>
    <row r="76">
      <c r="A76" s="2" t="inlineStr">
        <is>
          <t>קלנסווה</t>
        </is>
      </c>
      <c r="B76" s="3" t="n"/>
      <c r="C76" s="3" t="n">
        <v>23951</v>
      </c>
      <c r="D76" s="3" t="n">
        <v>25167</v>
      </c>
      <c r="E76" s="3" t="n">
        <v>25167</v>
      </c>
      <c r="F76" s="3">
        <f>IF(AND(D76&lt;&gt;"",C76&lt;&gt;""),D76-C76,"")</f>
        <v/>
      </c>
      <c r="G76" s="4">
        <f>IF(AND(D76&lt;&gt;"",C76&lt;&gt;"",C76&lt;&gt;0),((D76/C76)^(1/2)-1)*100,IF(AND(E76&lt;&gt;"",B76&lt;&gt;"",B76&lt;&gt;0),((E76/B76)^(1/5)-1)*100,""))</f>
        <v/>
      </c>
    </row>
    <row r="77">
      <c r="A77" s="6" t="inlineStr">
        <is>
          <t>גן יבנה</t>
        </is>
      </c>
      <c r="B77" s="7" t="n"/>
      <c r="C77" s="7" t="n">
        <v>23688</v>
      </c>
      <c r="D77" s="7" t="n">
        <v>25144</v>
      </c>
      <c r="E77" s="7" t="n">
        <v>25144</v>
      </c>
      <c r="F77" s="7">
        <f>IF(AND(D77&lt;&gt;"",C77&lt;&gt;""),D77-C77,"")</f>
        <v/>
      </c>
      <c r="G77" s="8">
        <f>IF(AND(D77&lt;&gt;"",C77&lt;&gt;"",C77&lt;&gt;0),((D77/C77)^(1/2)-1)*100,IF(AND(E77&lt;&gt;"",B77&lt;&gt;"",B77&lt;&gt;0),((E77/B77)^(1/5)-1)*100,""))</f>
        <v/>
      </c>
    </row>
    <row r="78">
      <c r="A78" s="2" t="inlineStr">
        <is>
          <t>יקנעם עילית</t>
        </is>
      </c>
      <c r="B78" s="3" t="n"/>
      <c r="C78" s="3" t="n">
        <v>23729</v>
      </c>
      <c r="D78" s="3" t="n">
        <v>24928</v>
      </c>
      <c r="E78" s="3" t="n">
        <v>24928</v>
      </c>
      <c r="F78" s="3">
        <f>IF(AND(D78&lt;&gt;"",C78&lt;&gt;""),D78-C78,"")</f>
        <v/>
      </c>
      <c r="G78" s="4">
        <f>IF(AND(D78&lt;&gt;"",C78&lt;&gt;"",C78&lt;&gt;0),((D78/C78)^(1/2)-1)*100,IF(AND(E78&lt;&gt;"",B78&lt;&gt;"",B78&lt;&gt;0),((E78/B78)^(1/5)-1)*100,""))</f>
        <v/>
      </c>
    </row>
    <row r="79">
      <c r="A79" s="6" t="inlineStr">
        <is>
          <t>תל שבע</t>
        </is>
      </c>
      <c r="B79" s="7" t="n"/>
      <c r="C79" s="7" t="n">
        <v>22760</v>
      </c>
      <c r="D79" s="7" t="n">
        <v>24781</v>
      </c>
      <c r="E79" s="7" t="n">
        <v>24781</v>
      </c>
      <c r="F79" s="7">
        <f>IF(AND(D79&lt;&gt;"",C79&lt;&gt;""),D79-C79,"")</f>
        <v/>
      </c>
      <c r="G79" s="8">
        <f>IF(AND(D79&lt;&gt;"",C79&lt;&gt;"",C79&lt;&gt;0),((D79/C79)^(1/2)-1)*100,IF(AND(E79&lt;&gt;"",B79&lt;&gt;"",B79&lt;&gt;0),((E79/B79)^(1/5)-1)*100,""))</f>
        <v/>
      </c>
    </row>
    <row r="80">
      <c r="A80" s="2" t="inlineStr">
        <is>
          <t>קריית שמונה</t>
        </is>
      </c>
      <c r="B80" s="3" t="n"/>
      <c r="C80" s="3" t="n">
        <v>23083</v>
      </c>
      <c r="D80" s="3" t="n">
        <v>24437</v>
      </c>
      <c r="E80" s="3" t="n">
        <v>24437</v>
      </c>
      <c r="F80" s="3">
        <f>IF(AND(D80&lt;&gt;"",C80&lt;&gt;""),D80-C80,"")</f>
        <v/>
      </c>
      <c r="G80" s="4">
        <f>IF(AND(D80&lt;&gt;"",C80&lt;&gt;"",C80&lt;&gt;0),((D80/C80)^(1/2)-1)*100,IF(AND(E80&lt;&gt;"",B80&lt;&gt;"",B80&lt;&gt;0),((E80/B80)^(1/5)-1)*100,""))</f>
        <v/>
      </c>
    </row>
    <row r="81">
      <c r="A81" s="6" t="inlineStr">
        <is>
          <t>זכרון יעקב</t>
        </is>
      </c>
      <c r="B81" s="7" t="n"/>
      <c r="C81" s="7" t="n">
        <v>23513</v>
      </c>
      <c r="D81" s="7" t="n">
        <v>24200</v>
      </c>
      <c r="E81" s="7" t="n">
        <v>24200</v>
      </c>
      <c r="F81" s="7">
        <f>IF(AND(D81&lt;&gt;"",C81&lt;&gt;""),D81-C81,"")</f>
        <v/>
      </c>
      <c r="G81" s="8">
        <f>IF(AND(D81&lt;&gt;"",C81&lt;&gt;"",C81&lt;&gt;0),((D81/C81)^(1/2)-1)*100,IF(AND(E81&lt;&gt;"",B81&lt;&gt;"",B81&lt;&gt;0),((E81/B81)^(1/5)-1)*100,""))</f>
        <v/>
      </c>
    </row>
    <row r="82">
      <c r="A82" s="2" t="inlineStr">
        <is>
          <t>שוהם</t>
        </is>
      </c>
      <c r="B82" s="3" t="n"/>
      <c r="C82" s="3" t="n">
        <v>21171</v>
      </c>
      <c r="D82" s="3" t="n">
        <v>23592</v>
      </c>
      <c r="E82" s="3" t="n">
        <v>23592</v>
      </c>
      <c r="F82" s="3">
        <f>IF(AND(D82&lt;&gt;"",C82&lt;&gt;""),D82-C82,"")</f>
        <v/>
      </c>
      <c r="G82" s="4">
        <f>IF(AND(D82&lt;&gt;"",C82&lt;&gt;"",C82&lt;&gt;0),((D82/C82)^(1/2)-1)*100,IF(AND(E82&lt;&gt;"",B82&lt;&gt;"",B82&lt;&gt;0),((E82/B82)^(1/5)-1)*100,""))</f>
        <v/>
      </c>
    </row>
    <row r="83">
      <c r="A83" s="6" t="inlineStr">
        <is>
          <t>מגאר</t>
        </is>
      </c>
      <c r="B83" s="7" t="n"/>
      <c r="C83" s="7" t="n">
        <v>22564</v>
      </c>
      <c r="D83" s="7" t="n">
        <v>23486</v>
      </c>
      <c r="E83" s="7" t="n">
        <v>23486</v>
      </c>
      <c r="F83" s="7">
        <f>IF(AND(D83&lt;&gt;"",C83&lt;&gt;""),D83-C83,"")</f>
        <v/>
      </c>
      <c r="G83" s="8">
        <f>IF(AND(D83&lt;&gt;"",C83&lt;&gt;"",C83&lt;&gt;0),((D83/C83)^(1/2)-1)*100,IF(AND(E83&lt;&gt;"",B83&lt;&gt;"",B83&lt;&gt;0),((E83/B83)^(1/5)-1)*100,""))</f>
        <v/>
      </c>
    </row>
    <row r="84">
      <c r="A84" s="2" t="inlineStr">
        <is>
          <t>מעלות-תרשיחא</t>
        </is>
      </c>
      <c r="B84" s="3" t="n"/>
      <c r="C84" s="3" t="n">
        <v>22720</v>
      </c>
      <c r="D84" s="3" t="n">
        <v>23042</v>
      </c>
      <c r="E84" s="3" t="n">
        <v>23042</v>
      </c>
      <c r="F84" s="3">
        <f>IF(AND(D84&lt;&gt;"",C84&lt;&gt;""),D84-C84,"")</f>
        <v/>
      </c>
      <c r="G84" s="4">
        <f>IF(AND(D84&lt;&gt;"",C84&lt;&gt;"",C84&lt;&gt;0),((D84/C84)^(1/2)-1)*100,IF(AND(E84&lt;&gt;"",B84&lt;&gt;"",B84&lt;&gt;0),((E84/B84)^(1/5)-1)*100,""))</f>
        <v/>
      </c>
    </row>
    <row r="85">
      <c r="A85" s="6" t="inlineStr">
        <is>
          <t>חורה</t>
        </is>
      </c>
      <c r="B85" s="7" t="n"/>
      <c r="C85" s="7" t="n">
        <v>20671</v>
      </c>
      <c r="D85" s="7" t="n">
        <v>23035</v>
      </c>
      <c r="E85" s="7" t="n">
        <v>23035</v>
      </c>
      <c r="F85" s="7">
        <f>IF(AND(D85&lt;&gt;"",C85&lt;&gt;""),D85-C85,"")</f>
        <v/>
      </c>
      <c r="G85" s="8">
        <f>IF(AND(D85&lt;&gt;"",C85&lt;&gt;"",C85&lt;&gt;0),((D85/C85)^(1/2)-1)*100,IF(AND(E85&lt;&gt;"",B85&lt;&gt;"",B85&lt;&gt;0),((E85/B85)^(1/5)-1)*100,""))</f>
        <v/>
      </c>
    </row>
    <row r="86">
      <c r="A86" s="2" t="inlineStr">
        <is>
          <t>נשר</t>
        </is>
      </c>
      <c r="B86" s="3" t="n"/>
      <c r="C86" s="3" t="n">
        <v>22911</v>
      </c>
      <c r="D86" s="3" t="n">
        <v>22897</v>
      </c>
      <c r="E86" s="3" t="n">
        <v>22897</v>
      </c>
      <c r="F86" s="3">
        <f>IF(AND(D86&lt;&gt;"",C86&lt;&gt;""),D86-C86,"")</f>
        <v/>
      </c>
      <c r="G86" s="4">
        <f>IF(AND(D86&lt;&gt;"",C86&lt;&gt;"",C86&lt;&gt;0),((D86/C86)^(1/2)-1)*100,IF(AND(E86&lt;&gt;"",B86&lt;&gt;"",B86&lt;&gt;0),((E86/B86)^(1/5)-1)*100,""))</f>
        <v/>
      </c>
    </row>
    <row r="87">
      <c r="A87" s="6" t="inlineStr">
        <is>
          <t>קדימה-צורן</t>
        </is>
      </c>
      <c r="B87" s="7" t="n"/>
      <c r="C87" s="7" t="n">
        <v>22153</v>
      </c>
      <c r="D87" s="7" t="n">
        <v>22655</v>
      </c>
      <c r="E87" s="7" t="n">
        <v>22655</v>
      </c>
      <c r="F87" s="7">
        <f>IF(AND(D87&lt;&gt;"",C87&lt;&gt;""),D87-C87,"")</f>
        <v/>
      </c>
      <c r="G87" s="8">
        <f>IF(AND(D87&lt;&gt;"",C87&lt;&gt;"",C87&lt;&gt;0),((D87/C87)^(1/2)-1)*100,IF(AND(E87&lt;&gt;"",B87&lt;&gt;"",B87&lt;&gt;0),((E87/B87)^(1/5)-1)*100,""))</f>
        <v/>
      </c>
    </row>
    <row r="88">
      <c r="A88" s="2" t="inlineStr">
        <is>
          <t>כפר מנדא</t>
        </is>
      </c>
      <c r="B88" s="3" t="n"/>
      <c r="C88" s="3" t="n">
        <v>21041</v>
      </c>
      <c r="D88" s="3" t="n">
        <v>22267</v>
      </c>
      <c r="E88" s="3" t="n">
        <v>22267</v>
      </c>
      <c r="F88" s="3">
        <f>IF(AND(D88&lt;&gt;"",C88&lt;&gt;""),D88-C88,"")</f>
        <v/>
      </c>
      <c r="G88" s="4">
        <f>IF(AND(D88&lt;&gt;"",C88&lt;&gt;"",C88&lt;&gt;0),((D88/C88)^(1/2)-1)*100,IF(AND(E88&lt;&gt;"",B88&lt;&gt;"",B88&lt;&gt;0),((E88/B88)^(1/5)-1)*100,""))</f>
        <v/>
      </c>
    </row>
    <row r="89">
      <c r="A89" s="6" t="inlineStr">
        <is>
          <t>כסיפה</t>
        </is>
      </c>
      <c r="B89" s="7" t="n"/>
      <c r="C89" s="7" t="n">
        <v>18867</v>
      </c>
      <c r="D89" s="7" t="n">
        <v>21849</v>
      </c>
      <c r="E89" s="7" t="n">
        <v>21849</v>
      </c>
      <c r="F89" s="7">
        <f>IF(AND(D89&lt;&gt;"",C89&lt;&gt;""),D89-C89,"")</f>
        <v/>
      </c>
      <c r="G89" s="8">
        <f>IF(AND(D89&lt;&gt;"",C89&lt;&gt;"",C89&lt;&gt;0),((D89/C89)^(1/2)-1)*100,IF(AND(E89&lt;&gt;"",B89&lt;&gt;"",B89&lt;&gt;0),((E89/B89)^(1/5)-1)*100,""))</f>
        <v/>
      </c>
    </row>
    <row r="90">
      <c r="A90" s="2" t="inlineStr">
        <is>
          <t>ערערה-בנגב</t>
        </is>
      </c>
      <c r="B90" s="3" t="n"/>
      <c r="C90" s="3" t="n">
        <v>19543</v>
      </c>
      <c r="D90" s="3" t="n">
        <v>21259</v>
      </c>
      <c r="E90" s="3" t="n">
        <v>21259</v>
      </c>
      <c r="F90" s="3">
        <f>IF(AND(D90&lt;&gt;"",C90&lt;&gt;""),D90-C90,"")</f>
        <v/>
      </c>
      <c r="G90" s="4">
        <f>IF(AND(D90&lt;&gt;"",C90&lt;&gt;"",C90&lt;&gt;0),((D90/C90)^(1/2)-1)*100,IF(AND(E90&lt;&gt;"",B90&lt;&gt;"",B90&lt;&gt;0),((E90/B90)^(1/5)-1)*100,""))</f>
        <v/>
      </c>
    </row>
    <row r="91">
      <c r="A91" s="6" t="inlineStr">
        <is>
          <t>כפר קרע</t>
        </is>
      </c>
      <c r="B91" s="7" t="n"/>
      <c r="C91" s="7" t="n">
        <v>19890</v>
      </c>
      <c r="D91" s="7" t="n">
        <v>21067</v>
      </c>
      <c r="E91" s="7" t="n">
        <v>21067</v>
      </c>
      <c r="F91" s="7">
        <f>IF(AND(D91&lt;&gt;"",C91&lt;&gt;""),D91-C91,"")</f>
        <v/>
      </c>
      <c r="G91" s="8">
        <f>IF(AND(D91&lt;&gt;"",C91&lt;&gt;"",C91&lt;&gt;0),((D91/C91)^(1/2)-1)*100,IF(AND(E91&lt;&gt;"",B91&lt;&gt;"",B91&lt;&gt;0),((E91/B91)^(1/5)-1)*100,""))</f>
        <v/>
      </c>
    </row>
    <row r="92">
      <c r="A92" s="2" t="inlineStr">
        <is>
          <t>ערערה</t>
        </is>
      </c>
      <c r="B92" s="3" t="n"/>
      <c r="C92" s="3" t="n">
        <v>19919</v>
      </c>
      <c r="D92" s="3" t="n">
        <v>20733</v>
      </c>
      <c r="E92" s="3" t="n">
        <v>20733</v>
      </c>
      <c r="F92" s="3">
        <f>IF(AND(D92&lt;&gt;"",C92&lt;&gt;""),D92-C92,"")</f>
        <v/>
      </c>
      <c r="G92" s="4">
        <f>IF(AND(D92&lt;&gt;"",C92&lt;&gt;"",C92&lt;&gt;0),((D92/C92)^(1/2)-1)*100,IF(AND(E92&lt;&gt;"",B92&lt;&gt;"",B92&lt;&gt;0),((E92/B92)^(1/5)-1)*100,""))</f>
        <v/>
      </c>
    </row>
    <row r="93">
      <c r="A93" s="6" t="inlineStr">
        <is>
          <t>ריינה</t>
        </is>
      </c>
      <c r="B93" s="7" t="n"/>
      <c r="C93" s="7" t="n">
        <v>17046</v>
      </c>
      <c r="D93" s="7" t="n">
        <v>20654</v>
      </c>
      <c r="E93" s="7" t="n">
        <v>20654</v>
      </c>
      <c r="F93" s="7">
        <f>IF(AND(D93&lt;&gt;"",C93&lt;&gt;""),D93-C93,"")</f>
        <v/>
      </c>
      <c r="G93" s="8">
        <f>IF(AND(D93&lt;&gt;"",C93&lt;&gt;"",C93&lt;&gt;0),((D93/C93)^(1/2)-1)*100,IF(AND(E93&lt;&gt;"",B93&lt;&gt;"",B93&lt;&gt;0),((E93/B93)^(1/5)-1)*100,""))</f>
        <v/>
      </c>
    </row>
    <row r="94">
      <c r="A94" s="2" t="inlineStr">
        <is>
          <t>בית שאן</t>
        </is>
      </c>
      <c r="B94" s="3" t="n"/>
      <c r="C94" s="3" t="n">
        <v>19825</v>
      </c>
      <c r="D94" s="3" t="n">
        <v>20253</v>
      </c>
      <c r="E94" s="3" t="n">
        <v>20253</v>
      </c>
      <c r="F94" s="3">
        <f>IF(AND(D94&lt;&gt;"",C94&lt;&gt;""),D94-C94,"")</f>
        <v/>
      </c>
      <c r="G94" s="4">
        <f>IF(AND(D94&lt;&gt;"",C94&lt;&gt;"",C94&lt;&gt;0),((D94/C94)^(1/2)-1)*100,IF(AND(E94&lt;&gt;"",B94&lt;&gt;"",B94&lt;&gt;0),((E94/B94)^(1/5)-1)*100,""))</f>
        <v/>
      </c>
    </row>
    <row r="95">
      <c r="A95" s="6" t="inlineStr">
        <is>
          <t>ג'דיידה-מכר</t>
        </is>
      </c>
      <c r="B95" s="7" t="n"/>
      <c r="C95" s="7" t="n">
        <v>19842</v>
      </c>
      <c r="D95" s="7" t="n">
        <v>20232</v>
      </c>
      <c r="E95" s="7" t="n">
        <v>20232</v>
      </c>
      <c r="F95" s="7">
        <f>IF(AND(D95&lt;&gt;"",C95&lt;&gt;""),D95-C95,"")</f>
        <v/>
      </c>
      <c r="G95" s="8">
        <f>IF(AND(D95&lt;&gt;"",C95&lt;&gt;"",C95&lt;&gt;0),((D95/C95)^(1/2)-1)*100,IF(AND(E95&lt;&gt;"",B95&lt;&gt;"",B95&lt;&gt;0),((E95/B95)^(1/5)-1)*100,""))</f>
        <v/>
      </c>
    </row>
    <row r="96">
      <c r="A96" s="2" t="inlineStr">
        <is>
          <t>לקיה</t>
        </is>
      </c>
      <c r="B96" s="3" t="n"/>
      <c r="C96" s="3" t="n">
        <v>17074</v>
      </c>
      <c r="D96" s="3" t="n">
        <v>19361</v>
      </c>
      <c r="E96" s="3" t="n">
        <v>19361</v>
      </c>
      <c r="F96" s="3">
        <f>IF(AND(D96&lt;&gt;"",C96&lt;&gt;""),D96-C96,"")</f>
        <v/>
      </c>
      <c r="G96" s="4">
        <f>IF(AND(D96&lt;&gt;"",C96&lt;&gt;"",C96&lt;&gt;0),((D96/C96)^(1/2)-1)*100,IF(AND(E96&lt;&gt;"",B96&lt;&gt;"",B96&lt;&gt;0),((E96/B96)^(1/5)-1)*100,""))</f>
        <v/>
      </c>
    </row>
    <row r="97">
      <c r="A97" s="6" t="inlineStr">
        <is>
          <t>קריית טבעון</t>
        </is>
      </c>
      <c r="B97" s="7" t="n"/>
      <c r="C97" s="7" t="n">
        <v>17944</v>
      </c>
      <c r="D97" s="7" t="n">
        <v>19157</v>
      </c>
      <c r="E97" s="7" t="n">
        <v>19157</v>
      </c>
      <c r="F97" s="7">
        <f>IF(AND(D97&lt;&gt;"",C97&lt;&gt;""),D97-C97,"")</f>
        <v/>
      </c>
      <c r="G97" s="8">
        <f>IF(AND(D97&lt;&gt;"",C97&lt;&gt;"",C97&lt;&gt;0),((D97/C97)^(1/2)-1)*100,IF(AND(E97&lt;&gt;"",B97&lt;&gt;"",B97&lt;&gt;0),((E97/B97)^(1/5)-1)*100,""))</f>
        <v/>
      </c>
    </row>
    <row r="98">
      <c r="A98" s="2" t="inlineStr">
        <is>
          <t>יפיע</t>
        </is>
      </c>
      <c r="B98" s="3" t="n"/>
      <c r="C98" s="3" t="n">
        <v>18113</v>
      </c>
      <c r="D98" s="3" t="n">
        <v>18837</v>
      </c>
      <c r="E98" s="3" t="n">
        <v>18837</v>
      </c>
      <c r="F98" s="3">
        <f>IF(AND(D98&lt;&gt;"",C98&lt;&gt;""),D98-C98,"")</f>
        <v/>
      </c>
      <c r="G98" s="4">
        <f>IF(AND(D98&lt;&gt;"",C98&lt;&gt;"",C98&lt;&gt;0),((D98/C98)^(1/2)-1)*100,IF(AND(E98&lt;&gt;"",B98&lt;&gt;"",B98&lt;&gt;0),((E98/B98)^(1/5)-1)*100,""))</f>
        <v/>
      </c>
    </row>
    <row r="99">
      <c r="A99" s="6" t="inlineStr">
        <is>
          <t>דאלית אל-כרמל</t>
        </is>
      </c>
      <c r="B99" s="7" t="n"/>
      <c r="C99" s="7" t="n">
        <v>17672</v>
      </c>
      <c r="D99" s="7" t="n">
        <v>18363</v>
      </c>
      <c r="E99" s="7" t="n">
        <v>18363</v>
      </c>
      <c r="F99" s="7">
        <f>IF(AND(D99&lt;&gt;"",C99&lt;&gt;""),D99-C99,"")</f>
        <v/>
      </c>
      <c r="G99" s="8">
        <f>IF(AND(D99&lt;&gt;"",C99&lt;&gt;"",C99&lt;&gt;0),((D99/C99)^(1/2)-1)*100,IF(AND(E99&lt;&gt;"",B99&lt;&gt;"",B99&lt;&gt;0),((E99/B99)^(1/5)-1)*100,""))</f>
        <v/>
      </c>
    </row>
    <row r="100">
      <c r="A100" s="2" t="inlineStr">
        <is>
          <t>ירכא</t>
        </is>
      </c>
      <c r="B100" s="3" t="n"/>
      <c r="C100" s="3" t="n">
        <v>16194</v>
      </c>
      <c r="D100" s="3" t="n">
        <v>16823</v>
      </c>
      <c r="E100" s="3" t="n">
        <v>16823</v>
      </c>
      <c r="F100" s="3">
        <f>IF(AND(D100&lt;&gt;"",C100&lt;&gt;""),D100-C100,"")</f>
        <v/>
      </c>
      <c r="G100" s="4">
        <f>IF(AND(D100&lt;&gt;"",C100&lt;&gt;"",C100&lt;&gt;0),((D100/C100)^(1/2)-1)*100,IF(AND(E100&lt;&gt;"",B100&lt;&gt;"",B100&lt;&gt;0),((E100/B100)^(1/5)-1)*100,""))</f>
        <v/>
      </c>
    </row>
    <row r="101">
      <c r="A101" s="6" t="inlineStr">
        <is>
          <t>שגב-שלום</t>
        </is>
      </c>
      <c r="B101" s="7" t="n"/>
      <c r="C101" s="7" t="n">
        <v>14654</v>
      </c>
      <c r="D101" s="7" t="n">
        <v>16736</v>
      </c>
      <c r="E101" s="7" t="n">
        <v>16736</v>
      </c>
      <c r="F101" s="7">
        <f>IF(AND(D101&lt;&gt;"",C101&lt;&gt;""),D101-C101,"")</f>
        <v/>
      </c>
      <c r="G101" s="8">
        <f>IF(AND(D101&lt;&gt;"",C101&lt;&gt;"",C101&lt;&gt;0),((D101/C101)^(1/2)-1)*100,IF(AND(E101&lt;&gt;"",B101&lt;&gt;"",B101&lt;&gt;0),((E101/B101)^(1/5)-1)*100,""))</f>
        <v/>
      </c>
    </row>
    <row r="102">
      <c r="A102" s="2" t="inlineStr">
        <is>
          <t>מזכרת בתיה</t>
        </is>
      </c>
      <c r="B102" s="3" t="n"/>
      <c r="C102" s="3" t="n">
        <v>15858</v>
      </c>
      <c r="D102" s="3" t="n">
        <v>16334</v>
      </c>
      <c r="E102" s="3" t="n">
        <v>16334</v>
      </c>
      <c r="F102" s="3">
        <f>IF(AND(D102&lt;&gt;"",C102&lt;&gt;""),D102-C102,"")</f>
        <v/>
      </c>
      <c r="G102" s="4">
        <f>IF(AND(D102&lt;&gt;"",C102&lt;&gt;"",C102&lt;&gt;0),((D102/C102)^(1/2)-1)*100,IF(AND(E102&lt;&gt;"",B102&lt;&gt;"",B102&lt;&gt;0),((E102/B102)^(1/5)-1)*100,""))</f>
        <v/>
      </c>
    </row>
    <row r="103">
      <c r="A103" s="6" t="inlineStr">
        <is>
          <t>ג'סר א-זרקא</t>
        </is>
      </c>
      <c r="B103" s="7" t="n"/>
      <c r="C103" s="7" t="n">
        <v>15418</v>
      </c>
      <c r="D103" s="7" t="n">
        <v>15823</v>
      </c>
      <c r="E103" s="7" t="n">
        <v>15823</v>
      </c>
      <c r="F103" s="7">
        <f>IF(AND(D103&lt;&gt;"",C103&lt;&gt;""),D103-C103,"")</f>
        <v/>
      </c>
      <c r="G103" s="8">
        <f>IF(AND(D103&lt;&gt;"",C103&lt;&gt;"",C103&lt;&gt;0),((D103/C103)^(1/2)-1)*100,IF(AND(E103&lt;&gt;"",B103&lt;&gt;"",B103&lt;&gt;0),((E103/B103)^(1/5)-1)*100,""))</f>
        <v/>
      </c>
    </row>
    <row r="104">
      <c r="A104" s="2" t="inlineStr">
        <is>
          <t>בנימינה-גבעת עדה</t>
        </is>
      </c>
      <c r="B104" s="3" t="n"/>
      <c r="C104" s="3" t="n">
        <v>15268</v>
      </c>
      <c r="D104" s="3" t="n">
        <v>15566</v>
      </c>
      <c r="E104" s="3" t="n">
        <v>15566</v>
      </c>
      <c r="F104" s="3">
        <f>IF(AND(D104&lt;&gt;"",C104&lt;&gt;""),D104-C104,"")</f>
        <v/>
      </c>
      <c r="G104" s="4">
        <f>IF(AND(D104&lt;&gt;"",C104&lt;&gt;"",C104&lt;&gt;0),((D104/C104)^(1/2)-1)*100,IF(AND(E104&lt;&gt;"",B104&lt;&gt;"",B104&lt;&gt;0),((E104/B104)^(1/5)-1)*100,""))</f>
        <v/>
      </c>
    </row>
    <row r="105">
      <c r="A105" s="6" t="inlineStr">
        <is>
          <t>מעלה עירון</t>
        </is>
      </c>
      <c r="B105" s="7" t="n"/>
      <c r="C105" s="7" t="n">
        <v>14865</v>
      </c>
      <c r="D105" s="7" t="n">
        <v>15486</v>
      </c>
      <c r="E105" s="7" t="n">
        <v>15486</v>
      </c>
      <c r="F105" s="7">
        <f>IF(AND(D105&lt;&gt;"",C105&lt;&gt;""),D105-C105,"")</f>
        <v/>
      </c>
      <c r="G105" s="8">
        <f>IF(AND(D105&lt;&gt;"",C105&lt;&gt;"",C105&lt;&gt;0),((D105/C105)^(1/2)-1)*100,IF(AND(E105&lt;&gt;"",B105&lt;&gt;"",B105&lt;&gt;0),((E105/B105)^(1/5)-1)*100,""))</f>
        <v/>
      </c>
    </row>
    <row r="106">
      <c r="A106" s="2" t="inlineStr">
        <is>
          <t>מג'ד אל-כרום</t>
        </is>
      </c>
      <c r="B106" s="3" t="n"/>
      <c r="C106" s="3" t="n">
        <v>14852</v>
      </c>
      <c r="D106" s="3" t="n">
        <v>15429</v>
      </c>
      <c r="E106" s="3" t="n">
        <v>15429</v>
      </c>
      <c r="F106" s="3">
        <f>IF(AND(D106&lt;&gt;"",C106&lt;&gt;""),D106-C106,"")</f>
        <v/>
      </c>
      <c r="G106" s="4">
        <f>IF(AND(D106&lt;&gt;"",C106&lt;&gt;"",C106&lt;&gt;0),((D106/C106)^(1/2)-1)*100,IF(AND(E106&lt;&gt;"",B106&lt;&gt;"",B106&lt;&gt;0),((E106/B106)^(1/5)-1)*100,""))</f>
        <v/>
      </c>
    </row>
    <row r="107">
      <c r="A107" s="6" t="inlineStr">
        <is>
          <t>אבן יהודה</t>
        </is>
      </c>
      <c r="B107" s="7" t="n"/>
      <c r="C107" s="7" t="n">
        <v>14989</v>
      </c>
      <c r="D107" s="7" t="n">
        <v>15370</v>
      </c>
      <c r="E107" s="7" t="n">
        <v>15370</v>
      </c>
      <c r="F107" s="7">
        <f>IF(AND(D107&lt;&gt;"",C107&lt;&gt;""),D107-C107,"")</f>
        <v/>
      </c>
      <c r="G107" s="8">
        <f>IF(AND(D107&lt;&gt;"",C107&lt;&gt;"",C107&lt;&gt;0),((D107/C107)^(1/2)-1)*100,IF(AND(E107&lt;&gt;"",B107&lt;&gt;"",B107&lt;&gt;0),((E107/B107)^(1/5)-1)*100,""))</f>
        <v/>
      </c>
    </row>
    <row r="108">
      <c r="A108" s="2" t="inlineStr">
        <is>
          <t>אכסאל</t>
        </is>
      </c>
      <c r="B108" s="3" t="n"/>
      <c r="C108" s="3" t="n">
        <v>14646</v>
      </c>
      <c r="D108" s="3" t="n">
        <v>15134</v>
      </c>
      <c r="E108" s="3" t="n">
        <v>15134</v>
      </c>
      <c r="F108" s="3">
        <f>IF(AND(D108&lt;&gt;"",C108&lt;&gt;""),D108-C108,"")</f>
        <v/>
      </c>
      <c r="G108" s="4">
        <f>IF(AND(D108&lt;&gt;"",C108&lt;&gt;"",C108&lt;&gt;0),((D108/C108)^(1/2)-1)*100,IF(AND(E108&lt;&gt;"",B108&lt;&gt;"",B108&lt;&gt;0),((E108/B108)^(1/5)-1)*100,""))</f>
        <v/>
      </c>
    </row>
    <row r="109">
      <c r="A109" s="6" t="inlineStr">
        <is>
          <t>רכסים</t>
        </is>
      </c>
      <c r="B109" s="7" t="n"/>
      <c r="C109" s="7" t="n">
        <v>13910</v>
      </c>
      <c r="D109" s="7" t="n">
        <v>15087</v>
      </c>
      <c r="E109" s="7" t="n">
        <v>15087</v>
      </c>
      <c r="F109" s="7">
        <f>IF(AND(D109&lt;&gt;"",C109&lt;&gt;""),D109-C109,"")</f>
        <v/>
      </c>
      <c r="G109" s="8">
        <f>IF(AND(D109&lt;&gt;"",C109&lt;&gt;"",C109&lt;&gt;0),((D109/C109)^(1/2)-1)*100,IF(AND(E109&lt;&gt;"",B109&lt;&gt;"",B109&lt;&gt;0),((E109/B109)^(1/5)-1)*100,""))</f>
        <v/>
      </c>
    </row>
    <row r="110">
      <c r="A110" s="2" t="inlineStr">
        <is>
          <t>טורעאן</t>
        </is>
      </c>
      <c r="B110" s="3" t="n"/>
      <c r="C110" s="3" t="n">
        <v>14397</v>
      </c>
      <c r="D110" s="3" t="n">
        <v>14931</v>
      </c>
      <c r="E110" s="3" t="n">
        <v>14931</v>
      </c>
      <c r="F110" s="3">
        <f>IF(AND(D110&lt;&gt;"",C110&lt;&gt;""),D110-C110,"")</f>
        <v/>
      </c>
      <c r="G110" s="4">
        <f>IF(AND(D110&lt;&gt;"",C110&lt;&gt;"",C110&lt;&gt;0),((D110/C110)^(1/2)-1)*100,IF(AND(E110&lt;&gt;"",B110&lt;&gt;"",B110&lt;&gt;0),((E110/B110)^(1/5)-1)*100,""))</f>
        <v/>
      </c>
    </row>
    <row r="111">
      <c r="A111" s="6" t="inlineStr">
        <is>
          <t>תל מונד</t>
        </is>
      </c>
      <c r="B111" s="7" t="n"/>
      <c r="C111" s="7" t="n">
        <v>14115</v>
      </c>
      <c r="D111" s="7" t="n">
        <v>14771</v>
      </c>
      <c r="E111" s="7" t="n">
        <v>14771</v>
      </c>
      <c r="F111" s="7">
        <f>IF(AND(D111&lt;&gt;"",C111&lt;&gt;""),D111-C111,"")</f>
        <v/>
      </c>
      <c r="G111" s="8">
        <f>IF(AND(D111&lt;&gt;"",C111&lt;&gt;"",C111&lt;&gt;0),((D111/C111)^(1/2)-1)*100,IF(AND(E111&lt;&gt;"",B111&lt;&gt;"",B111&lt;&gt;0),((E111/B111)^(1/5)-1)*100,""))</f>
        <v/>
      </c>
    </row>
    <row r="112">
      <c r="A112" s="2" t="inlineStr">
        <is>
          <t>אבו סנאן</t>
        </is>
      </c>
      <c r="B112" s="3" t="n"/>
      <c r="C112" s="3" t="n">
        <v>13895</v>
      </c>
      <c r="D112" s="3" t="n">
        <v>14543</v>
      </c>
      <c r="E112" s="3" t="n">
        <v>14543</v>
      </c>
      <c r="F112" s="3">
        <f>IF(AND(D112&lt;&gt;"",C112&lt;&gt;""),D112-C112,"")</f>
        <v/>
      </c>
      <c r="G112" s="4">
        <f>IF(AND(D112&lt;&gt;"",C112&lt;&gt;"",C112&lt;&gt;0),((D112/C112)^(1/2)-1)*100,IF(AND(E112&lt;&gt;"",B112&lt;&gt;"",B112&lt;&gt;0),((E112/B112)^(1/5)-1)*100,""))</f>
        <v/>
      </c>
    </row>
    <row r="113">
      <c r="A113" s="6" t="inlineStr">
        <is>
          <t>עין מאהל</t>
        </is>
      </c>
      <c r="B113" s="7" t="n"/>
      <c r="C113" s="7" t="n">
        <v>13485</v>
      </c>
      <c r="D113" s="7" t="n">
        <v>14029</v>
      </c>
      <c r="E113" s="7" t="n">
        <v>14029</v>
      </c>
      <c r="F113" s="7">
        <f>IF(AND(D113&lt;&gt;"",C113&lt;&gt;""),D113-C113,"")</f>
        <v/>
      </c>
      <c r="G113" s="8">
        <f>IF(AND(D113&lt;&gt;"",C113&lt;&gt;"",C113&lt;&gt;0),((D113/C113)^(1/2)-1)*100,IF(AND(E113&lt;&gt;"",B113&lt;&gt;"",B113&lt;&gt;0),((E113/B113)^(1/5)-1)*100,""))</f>
        <v/>
      </c>
    </row>
    <row r="114">
      <c r="A114" s="2" t="inlineStr">
        <is>
          <t>נחף</t>
        </is>
      </c>
      <c r="B114" s="3" t="n"/>
      <c r="C114" s="3" t="n">
        <v>13446</v>
      </c>
      <c r="D114" s="3" t="n">
        <v>13996</v>
      </c>
      <c r="E114" s="3" t="n">
        <v>13996</v>
      </c>
      <c r="F114" s="3">
        <f>IF(AND(D114&lt;&gt;"",C114&lt;&gt;""),D114-C114,"")</f>
        <v/>
      </c>
      <c r="G114" s="4">
        <f>IF(AND(D114&lt;&gt;"",C114&lt;&gt;"",C114&lt;&gt;0),((D114/C114)^(1/2)-1)*100,IF(AND(E114&lt;&gt;"",B114&lt;&gt;"",B114&lt;&gt;0),((E114/B114)^(1/5)-1)*100,""))</f>
        <v/>
      </c>
    </row>
    <row r="115">
      <c r="A115" s="6" t="inlineStr">
        <is>
          <t>אעבלין</t>
        </is>
      </c>
      <c r="B115" s="7" t="n"/>
      <c r="C115" s="7" t="n">
        <v>13357</v>
      </c>
      <c r="D115" s="7" t="n">
        <v>13634</v>
      </c>
      <c r="E115" s="7" t="n">
        <v>13634</v>
      </c>
      <c r="F115" s="7">
        <f>IF(AND(D115&lt;&gt;"",C115&lt;&gt;""),D115-C115,"")</f>
        <v/>
      </c>
      <c r="G115" s="8">
        <f>IF(AND(D115&lt;&gt;"",C115&lt;&gt;"",C115&lt;&gt;0),((D115/C115)^(1/2)-1)*100,IF(AND(E115&lt;&gt;"",B115&lt;&gt;"",B115&lt;&gt;0),((E115/B115)^(1/5)-1)*100,""))</f>
        <v/>
      </c>
    </row>
    <row r="116">
      <c r="A116" s="2" t="inlineStr">
        <is>
          <t>פוריידיס</t>
        </is>
      </c>
      <c r="B116" s="3" t="n"/>
      <c r="C116" s="3" t="n">
        <v>13108</v>
      </c>
      <c r="D116" s="3" t="n">
        <v>13548</v>
      </c>
      <c r="E116" s="3" t="n">
        <v>13548</v>
      </c>
      <c r="F116" s="3">
        <f>IF(AND(D116&lt;&gt;"",C116&lt;&gt;""),D116-C116,"")</f>
        <v/>
      </c>
      <c r="G116" s="4">
        <f>IF(AND(D116&lt;&gt;"",C116&lt;&gt;"",C116&lt;&gt;0),((D116/C116)^(1/2)-1)*100,IF(AND(E116&lt;&gt;"",B116&lt;&gt;"",B116&lt;&gt;0),((E116/B116)^(1/5)-1)*100,""))</f>
        <v/>
      </c>
    </row>
    <row r="117">
      <c r="A117" s="6" t="inlineStr">
        <is>
          <t>עספיא</t>
        </is>
      </c>
      <c r="B117" s="7" t="n"/>
      <c r="C117" s="7" t="n">
        <v>13060</v>
      </c>
      <c r="D117" s="7" t="n">
        <v>13403</v>
      </c>
      <c r="E117" s="7" t="n">
        <v>13403</v>
      </c>
      <c r="F117" s="7">
        <f>IF(AND(D117&lt;&gt;"",C117&lt;&gt;""),D117-C117,"")</f>
        <v/>
      </c>
      <c r="G117" s="8">
        <f>IF(AND(D117&lt;&gt;"",C117&lt;&gt;"",C117&lt;&gt;0),((D117/C117)^(1/2)-1)*100,IF(AND(E117&lt;&gt;"",B117&lt;&gt;"",B117&lt;&gt;0),((E117/B117)^(1/5)-1)*100,""))</f>
        <v/>
      </c>
    </row>
    <row r="118">
      <c r="A118" s="2" t="inlineStr">
        <is>
          <t>אזור</t>
        </is>
      </c>
      <c r="B118" s="3" t="n"/>
      <c r="C118" s="3" t="n">
        <v>13191</v>
      </c>
      <c r="D118" s="3" t="n">
        <v>13067</v>
      </c>
      <c r="E118" s="3" t="n">
        <v>13067</v>
      </c>
      <c r="F118" s="3">
        <f>IF(AND(D118&lt;&gt;"",C118&lt;&gt;""),D118-C118,"")</f>
        <v/>
      </c>
      <c r="G118" s="4">
        <f>IF(AND(D118&lt;&gt;"",C118&lt;&gt;"",C118&lt;&gt;0),((D118/C118)^(1/2)-1)*100,IF(AND(E118&lt;&gt;"",B118&lt;&gt;"",B118&lt;&gt;0),((E118/B118)^(1/5)-1)*100,""))</f>
        <v/>
      </c>
    </row>
    <row r="119">
      <c r="A119" s="6" t="inlineStr">
        <is>
          <t>ג'ת</t>
        </is>
      </c>
      <c r="B119" s="7" t="n"/>
      <c r="C119" s="7" t="n">
        <v>12232</v>
      </c>
      <c r="D119" s="7" t="n">
        <v>12835</v>
      </c>
      <c r="E119" s="7" t="n">
        <v>12835</v>
      </c>
      <c r="F119" s="7">
        <f>IF(AND(D119&lt;&gt;"",C119&lt;&gt;""),D119-C119,"")</f>
        <v/>
      </c>
      <c r="G119" s="8">
        <f>IF(AND(D119&lt;&gt;"",C119&lt;&gt;"",C119&lt;&gt;0),((D119/C119)^(1/2)-1)*100,IF(AND(E119&lt;&gt;"",B119&lt;&gt;"",B119&lt;&gt;0),((E119/B119)^(1/5)-1)*100,""))</f>
        <v/>
      </c>
    </row>
    <row r="120">
      <c r="A120" s="2" t="inlineStr">
        <is>
          <t>דייר אל-אסד</t>
        </is>
      </c>
      <c r="B120" s="3" t="n"/>
      <c r="C120" s="3" t="n">
        <v>12176</v>
      </c>
      <c r="D120" s="3" t="n">
        <v>12620</v>
      </c>
      <c r="E120" s="3" t="n">
        <v>12620</v>
      </c>
      <c r="F120" s="3">
        <f>IF(AND(D120&lt;&gt;"",C120&lt;&gt;""),D120-C120,"")</f>
        <v/>
      </c>
      <c r="G120" s="4">
        <f>IF(AND(D120&lt;&gt;"",C120&lt;&gt;"",C120&lt;&gt;0),((D120/C120)^(1/2)-1)*100,IF(AND(E120&lt;&gt;"",B120&lt;&gt;"",B120&lt;&gt;0),((E120/B120)^(1/5)-1)*100,""))</f>
        <v/>
      </c>
    </row>
    <row r="121">
      <c r="A121" s="6" t="inlineStr">
        <is>
          <t>כאבול</t>
        </is>
      </c>
      <c r="B121" s="7" t="n"/>
      <c r="C121" s="7" t="n">
        <v>11993</v>
      </c>
      <c r="D121" s="7" t="n">
        <v>12589</v>
      </c>
      <c r="E121" s="7" t="n">
        <v>12589</v>
      </c>
      <c r="F121" s="7">
        <f>IF(AND(D121&lt;&gt;"",C121&lt;&gt;""),D121-C121,"")</f>
        <v/>
      </c>
      <c r="G121" s="8">
        <f>IF(AND(D121&lt;&gt;"",C121&lt;&gt;"",C121&lt;&gt;0),((D121/C121)^(1/2)-1)*100,IF(AND(E121&lt;&gt;"",B121&lt;&gt;"",B121&lt;&gt;0),((E121/B121)^(1/5)-1)*100,""))</f>
        <v/>
      </c>
    </row>
    <row r="122">
      <c r="A122" s="2" t="inlineStr">
        <is>
          <t>בית ג'ן</t>
        </is>
      </c>
      <c r="B122" s="3" t="n"/>
      <c r="C122" s="3" t="n">
        <v>12038</v>
      </c>
      <c r="D122" s="3" t="n">
        <v>12446</v>
      </c>
      <c r="E122" s="3" t="n">
        <v>12446</v>
      </c>
      <c r="F122" s="3">
        <f>IF(AND(D122&lt;&gt;"",C122&lt;&gt;""),D122-C122,"")</f>
        <v/>
      </c>
      <c r="G122" s="4">
        <f>IF(AND(D122&lt;&gt;"",C122&lt;&gt;"",C122&lt;&gt;0),((D122/C122)^(1/2)-1)*100,IF(AND(E122&lt;&gt;"",B122&lt;&gt;"",B122&lt;&gt;0),((E122/B122)^(1/5)-1)*100,""))</f>
        <v/>
      </c>
    </row>
    <row r="123">
      <c r="A123" s="6" t="inlineStr">
        <is>
          <t>בסמ"ה</t>
        </is>
      </c>
      <c r="B123" s="7" t="n"/>
      <c r="C123" s="7" t="n">
        <v>11266</v>
      </c>
      <c r="D123" s="7" t="n">
        <v>12002</v>
      </c>
      <c r="E123" s="7" t="n">
        <v>12002</v>
      </c>
      <c r="F123" s="7">
        <f>IF(AND(D123&lt;&gt;"",C123&lt;&gt;""),D123-C123,"")</f>
        <v/>
      </c>
      <c r="G123" s="8">
        <f>IF(AND(D123&lt;&gt;"",C123&lt;&gt;"",C123&lt;&gt;0),((D123/C123)^(1/2)-1)*100,IF(AND(E123&lt;&gt;"",B123&lt;&gt;"",B123&lt;&gt;0),((E123/B123)^(1/5)-1)*100,""))</f>
        <v/>
      </c>
    </row>
    <row r="124">
      <c r="A124" s="2" t="inlineStr">
        <is>
          <t>ירוחם</t>
        </is>
      </c>
      <c r="B124" s="3" t="n"/>
      <c r="C124" s="3" t="n">
        <v>11403</v>
      </c>
      <c r="D124" s="3" t="n">
        <v>11989</v>
      </c>
      <c r="E124" s="3" t="n">
        <v>11989</v>
      </c>
      <c r="F124" s="3">
        <f>IF(AND(D124&lt;&gt;"",C124&lt;&gt;""),D124-C124,"")</f>
        <v/>
      </c>
      <c r="G124" s="4">
        <f>IF(AND(D124&lt;&gt;"",C124&lt;&gt;"",C124&lt;&gt;0),((D124/C124)^(1/2)-1)*100,IF(AND(E124&lt;&gt;"",B124&lt;&gt;"",B124&lt;&gt;0),((E124/B124)^(1/5)-1)*100,""))</f>
        <v/>
      </c>
    </row>
    <row r="125">
      <c r="A125" s="6" t="inlineStr">
        <is>
          <t>עתלית</t>
        </is>
      </c>
      <c r="B125" s="7" t="n"/>
      <c r="C125" s="7" t="n">
        <v>10658</v>
      </c>
      <c r="D125" s="7" t="n">
        <v>11611</v>
      </c>
      <c r="E125" s="7" t="n">
        <v>11611</v>
      </c>
      <c r="F125" s="7">
        <f>IF(AND(D125&lt;&gt;"",C125&lt;&gt;""),D125-C125,"")</f>
        <v/>
      </c>
      <c r="G125" s="8">
        <f>IF(AND(D125&lt;&gt;"",C125&lt;&gt;"",C125&lt;&gt;0),((D125/C125)^(1/2)-1)*100,IF(AND(E125&lt;&gt;"",B125&lt;&gt;"",B125&lt;&gt;0),((E125/B125)^(1/5)-1)*100,""))</f>
        <v/>
      </c>
    </row>
    <row r="126">
      <c r="A126" s="2" t="inlineStr">
        <is>
          <t>מיתר</t>
        </is>
      </c>
      <c r="B126" s="3" t="n"/>
      <c r="C126" s="3" t="n">
        <v>11207</v>
      </c>
      <c r="D126" s="3" t="n">
        <v>11609</v>
      </c>
      <c r="E126" s="3" t="n">
        <v>11609</v>
      </c>
      <c r="F126" s="3">
        <f>IF(AND(D126&lt;&gt;"",C126&lt;&gt;""),D126-C126,"")</f>
        <v/>
      </c>
      <c r="G126" s="4">
        <f>IF(AND(D126&lt;&gt;"",C126&lt;&gt;"",C126&lt;&gt;0),((D126/C126)^(1/2)-1)*100,IF(AND(E126&lt;&gt;"",B126&lt;&gt;"",B126&lt;&gt;0),((E126/B126)^(1/5)-1)*100,""))</f>
        <v/>
      </c>
    </row>
    <row r="127">
      <c r="A127" s="6" t="inlineStr">
        <is>
          <t>קריית עקרון</t>
        </is>
      </c>
      <c r="B127" s="7" t="n"/>
      <c r="C127" s="7" t="n">
        <v>11425</v>
      </c>
      <c r="D127" s="7" t="n">
        <v>11283</v>
      </c>
      <c r="E127" s="7" t="n">
        <v>11283</v>
      </c>
      <c r="F127" s="7">
        <f>IF(AND(D127&lt;&gt;"",C127&lt;&gt;""),D127-C127,"")</f>
        <v/>
      </c>
      <c r="G127" s="8">
        <f>IF(AND(D127&lt;&gt;"",C127&lt;&gt;"",C127&lt;&gt;0),((D127/C127)^(1/2)-1)*100,IF(AND(E127&lt;&gt;"",B127&lt;&gt;"",B127&lt;&gt;0),((E127/B127)^(1/5)-1)*100,""))</f>
        <v/>
      </c>
    </row>
    <row r="128">
      <c r="A128" s="2" t="inlineStr">
        <is>
          <t>מג'דל שמס</t>
        </is>
      </c>
      <c r="B128" s="3" t="n"/>
      <c r="C128" s="3" t="n">
        <v>11103</v>
      </c>
      <c r="D128" s="3" t="n">
        <v>11264</v>
      </c>
      <c r="E128" s="3" t="n">
        <v>11264</v>
      </c>
      <c r="F128" s="3">
        <f>IF(AND(D128&lt;&gt;"",C128&lt;&gt;""),D128-C128,"")</f>
        <v/>
      </c>
      <c r="G128" s="4">
        <f>IF(AND(D128&lt;&gt;"",C128&lt;&gt;"",C128&lt;&gt;0),((D128/C128)^(1/2)-1)*100,IF(AND(E128&lt;&gt;"",B128&lt;&gt;"",B128&lt;&gt;0),((E128/B128)^(1/5)-1)*100,""))</f>
        <v/>
      </c>
    </row>
    <row r="129">
      <c r="A129" s="6" t="inlineStr">
        <is>
          <t>ביר אל-מכסור</t>
        </is>
      </c>
      <c r="B129" s="7" t="n"/>
      <c r="C129" s="7" t="n">
        <v>10510</v>
      </c>
      <c r="D129" s="7" t="n">
        <v>11068</v>
      </c>
      <c r="E129" s="7" t="n">
        <v>11068</v>
      </c>
      <c r="F129" s="7">
        <f>IF(AND(D129&lt;&gt;"",C129&lt;&gt;""),D129-C129,"")</f>
        <v/>
      </c>
      <c r="G129" s="8">
        <f>IF(AND(D129&lt;&gt;"",C129&lt;&gt;"",C129&lt;&gt;0),((D129/C129)^(1/2)-1)*100,IF(AND(E129&lt;&gt;"",B129&lt;&gt;"",B129&lt;&gt;0),((E129/B129)^(1/5)-1)*100,""))</f>
        <v/>
      </c>
    </row>
    <row r="130">
      <c r="A130" s="2" t="inlineStr">
        <is>
          <t>חצור הגלילית</t>
        </is>
      </c>
      <c r="B130" s="3" t="n"/>
      <c r="C130" s="3" t="n">
        <v>10638</v>
      </c>
      <c r="D130" s="3" t="n">
        <v>11013</v>
      </c>
      <c r="E130" s="3" t="n">
        <v>11013</v>
      </c>
      <c r="F130" s="3">
        <f>IF(AND(D130&lt;&gt;"",C130&lt;&gt;""),D130-C130,"")</f>
        <v/>
      </c>
      <c r="G130" s="4">
        <f>IF(AND(D130&lt;&gt;"",C130&lt;&gt;"",C130&lt;&gt;0),((D130/C130)^(1/2)-1)*100,IF(AND(E130&lt;&gt;"",B130&lt;&gt;"",B130&lt;&gt;0),((E130/B130)^(1/5)-1)*100,""))</f>
        <v/>
      </c>
    </row>
    <row r="131">
      <c r="A131" s="6" t="inlineStr">
        <is>
          <t>ג'לג'וליה</t>
        </is>
      </c>
      <c r="B131" s="7" t="n"/>
      <c r="C131" s="7" t="n">
        <v>10502</v>
      </c>
      <c r="D131" s="7" t="n">
        <v>10992</v>
      </c>
      <c r="E131" s="7" t="n">
        <v>10992</v>
      </c>
      <c r="F131" s="7">
        <f>IF(AND(D131&lt;&gt;"",C131&lt;&gt;""),D131-C131,"")</f>
        <v/>
      </c>
      <c r="G131" s="8">
        <f>IF(AND(D131&lt;&gt;"",C131&lt;&gt;"",C131&lt;&gt;0),((D131/C131)^(1/2)-1)*100,IF(AND(E131&lt;&gt;"",B131&lt;&gt;"",B131&lt;&gt;0),((E131/B131)^(1/5)-1)*100,""))</f>
        <v/>
      </c>
    </row>
    <row r="132">
      <c r="A132" s="2" t="inlineStr">
        <is>
          <t>דבורייה</t>
        </is>
      </c>
      <c r="B132" s="3" t="n"/>
      <c r="C132" s="3" t="n">
        <v>10480</v>
      </c>
      <c r="D132" s="3" t="n">
        <v>10830</v>
      </c>
      <c r="E132" s="3" t="n">
        <v>10830</v>
      </c>
      <c r="F132" s="3">
        <f>IF(AND(D132&lt;&gt;"",C132&lt;&gt;""),D132-C132,"")</f>
        <v/>
      </c>
      <c r="G132" s="4">
        <f>IF(AND(D132&lt;&gt;"",C132&lt;&gt;"",C132&lt;&gt;0),((D132/C132)^(1/2)-1)*100,IF(AND(E132&lt;&gt;"",B132&lt;&gt;"",B132&lt;&gt;0),((E132/B132)^(1/5)-1)*100,""))</f>
        <v/>
      </c>
    </row>
    <row r="133">
      <c r="A133" s="6" t="inlineStr">
        <is>
          <t>דייר חנא</t>
        </is>
      </c>
      <c r="B133" s="7" t="n"/>
      <c r="C133" s="7" t="n">
        <v>10283</v>
      </c>
      <c r="D133" s="7" t="n">
        <v>10762</v>
      </c>
      <c r="E133" s="7" t="n">
        <v>10762</v>
      </c>
      <c r="F133" s="7">
        <f>IF(AND(D133&lt;&gt;"",C133&lt;&gt;""),D133-C133,"")</f>
        <v/>
      </c>
      <c r="G133" s="8">
        <f>IF(AND(D133&lt;&gt;"",C133&lt;&gt;"",C133&lt;&gt;0),((D133/C133)^(1/2)-1)*100,IF(AND(E133&lt;&gt;"",B133&lt;&gt;"",B133&lt;&gt;0),((E133/B133)^(1/5)-1)*100,""))</f>
        <v/>
      </c>
    </row>
    <row r="134">
      <c r="A134" s="2" t="inlineStr">
        <is>
          <t>בועיינה-נוג'ידאת</t>
        </is>
      </c>
      <c r="B134" s="3" t="n"/>
      <c r="C134" s="3" t="n">
        <v>10087</v>
      </c>
      <c r="D134" s="3" t="n">
        <v>10630</v>
      </c>
      <c r="E134" s="3" t="n">
        <v>10630</v>
      </c>
      <c r="F134" s="3">
        <f>IF(AND(D134&lt;&gt;"",C134&lt;&gt;""),D134-C134,"")</f>
        <v/>
      </c>
      <c r="G134" s="4">
        <f>IF(AND(D134&lt;&gt;"",C134&lt;&gt;"",C134&lt;&gt;0),((D134/C134)^(1/2)-1)*100,IF(AND(E134&lt;&gt;"",B134&lt;&gt;"",B134&lt;&gt;0),((E134/B134)^(1/5)-1)*100,""))</f>
        <v/>
      </c>
    </row>
    <row r="135">
      <c r="A135" s="6" t="inlineStr">
        <is>
          <t>כפר יאסיף</t>
        </is>
      </c>
      <c r="B135" s="7" t="n"/>
      <c r="C135" s="7" t="n">
        <v>10574</v>
      </c>
      <c r="D135" s="7" t="n">
        <v>10527</v>
      </c>
      <c r="E135" s="7" t="n">
        <v>10527</v>
      </c>
      <c r="F135" s="7">
        <f>IF(AND(D135&lt;&gt;"",C135&lt;&gt;""),D135-C135,"")</f>
        <v/>
      </c>
      <c r="G135" s="8">
        <f>IF(AND(D135&lt;&gt;"",C135&lt;&gt;"",C135&lt;&gt;0),((D135/C135)^(1/2)-1)*100,IF(AND(E135&lt;&gt;"",B135&lt;&gt;"",B135&lt;&gt;0),((E135/B135)^(1/5)-1)*100,""))</f>
        <v/>
      </c>
    </row>
    <row r="136">
      <c r="A136" s="2" t="inlineStr">
        <is>
          <t>צור הדסה</t>
        </is>
      </c>
      <c r="B136" s="3" t="n"/>
      <c r="C136" s="3" t="n">
        <v>10409</v>
      </c>
      <c r="D136" s="3" t="n">
        <v>10458</v>
      </c>
      <c r="E136" s="3" t="n">
        <v>10458</v>
      </c>
      <c r="F136" s="3">
        <f>IF(AND(D136&lt;&gt;"",C136&lt;&gt;""),D136-C136,"")</f>
        <v/>
      </c>
      <c r="G136" s="4">
        <f>IF(AND(D136&lt;&gt;"",C136&lt;&gt;"",C136&lt;&gt;0),((D136/C136)^(1/2)-1)*100,IF(AND(E136&lt;&gt;"",B136&lt;&gt;"",B136&lt;&gt;0),((E136/B136)^(1/5)-1)*100,""))</f>
        <v/>
      </c>
    </row>
    <row r="137">
      <c r="A137" s="6" t="inlineStr">
        <is>
          <t>כסרא-סמיע</t>
        </is>
      </c>
      <c r="B137" s="7" t="n"/>
      <c r="C137" s="7" t="n">
        <v>8930</v>
      </c>
      <c r="D137" s="7" t="n">
        <v>9549</v>
      </c>
      <c r="E137" s="7" t="n">
        <v>9549</v>
      </c>
      <c r="F137" s="7">
        <f>IF(AND(D137&lt;&gt;"",C137&lt;&gt;""),D137-C137,"")</f>
        <v/>
      </c>
      <c r="G137" s="8">
        <f>IF(AND(D137&lt;&gt;"",C137&lt;&gt;"",C137&lt;&gt;0),((D137/C137)^(1/2)-1)*100,IF(AND(E137&lt;&gt;"",B137&lt;&gt;"",B137&lt;&gt;0),((E137/B137)^(1/5)-1)*100,""))</f>
        <v/>
      </c>
    </row>
    <row r="138">
      <c r="A138" s="2" t="inlineStr">
        <is>
          <t>זרזיר</t>
        </is>
      </c>
      <c r="B138" s="3" t="n"/>
      <c r="C138" s="3" t="n">
        <v>8836</v>
      </c>
      <c r="D138" s="3" t="n">
        <v>9149</v>
      </c>
      <c r="E138" s="3" t="n">
        <v>9149</v>
      </c>
      <c r="F138" s="3">
        <f>IF(AND(D138&lt;&gt;"",C138&lt;&gt;""),D138-C138,"")</f>
        <v/>
      </c>
      <c r="G138" s="4">
        <f>IF(AND(D138&lt;&gt;"",C138&lt;&gt;"",C138&lt;&gt;0),((D138/C138)^(1/2)-1)*100,IF(AND(E138&lt;&gt;"",B138&lt;&gt;"",B138&lt;&gt;0),((E138/B138)^(1/5)-1)*100,""))</f>
        <v/>
      </c>
    </row>
    <row r="139">
      <c r="A139" s="6" t="inlineStr">
        <is>
          <t>עילוט</t>
        </is>
      </c>
      <c r="B139" s="7" t="n"/>
      <c r="C139" s="7" t="n">
        <v>8561</v>
      </c>
      <c r="D139" s="7" t="n">
        <v>9077</v>
      </c>
      <c r="E139" s="7" t="n">
        <v>9077</v>
      </c>
      <c r="F139" s="7">
        <f>IF(AND(D139&lt;&gt;"",C139&lt;&gt;""),D139-C139,"")</f>
        <v/>
      </c>
      <c r="G139" s="8">
        <f>IF(AND(D139&lt;&gt;"",C139&lt;&gt;"",C139&lt;&gt;0),((D139/C139)^(1/2)-1)*100,IF(AND(E139&lt;&gt;"",B139&lt;&gt;"",B139&lt;&gt;0),((E139/B139)^(1/5)-1)*100,""))</f>
        <v/>
      </c>
    </row>
    <row r="140">
      <c r="A140" s="2" t="inlineStr">
        <is>
          <t>כוכב יאיר</t>
        </is>
      </c>
      <c r="B140" s="3" t="n"/>
      <c r="C140" s="3" t="n">
        <v>9176</v>
      </c>
      <c r="D140" s="3" t="n">
        <v>9007</v>
      </c>
      <c r="E140" s="3" t="n">
        <v>9007</v>
      </c>
      <c r="F140" s="3">
        <f>IF(AND(D140&lt;&gt;"",C140&lt;&gt;""),D140-C140,"")</f>
        <v/>
      </c>
      <c r="G140" s="4">
        <f>IF(AND(D140&lt;&gt;"",C140&lt;&gt;"",C140&lt;&gt;0),((D140/C140)^(1/2)-1)*100,IF(AND(E140&lt;&gt;"",B140&lt;&gt;"",B140&lt;&gt;0),((E140/B140)^(1/5)-1)*100,""))</f>
        <v/>
      </c>
    </row>
    <row r="141">
      <c r="A141" s="6" t="inlineStr">
        <is>
          <t>קצרין</t>
        </is>
      </c>
      <c r="B141" s="7" t="n">
        <v>7606</v>
      </c>
      <c r="C141" s="7" t="n">
        <v>7633</v>
      </c>
      <c r="D141" s="7" t="n">
        <v>8012</v>
      </c>
      <c r="E141" s="7" t="n">
        <v>9000</v>
      </c>
      <c r="F141" s="7">
        <f>IF(AND(D141&lt;&gt;"",C141&lt;&gt;""),D141-C141,"")</f>
        <v/>
      </c>
      <c r="G141" s="8">
        <f>IF(AND(D141&lt;&gt;"",C141&lt;&gt;"",C141&lt;&gt;0),((D141/C141)^(1/2)-1)*100,IF(AND(E141&lt;&gt;"",B141&lt;&gt;"",B141&lt;&gt;0),((E141/B141)^(1/5)-1)*100,""))</f>
        <v/>
      </c>
    </row>
    <row r="142">
      <c r="A142" s="2" t="inlineStr">
        <is>
          <t>אבו גוש</t>
        </is>
      </c>
      <c r="B142" s="3" t="n"/>
      <c r="C142" s="3" t="n">
        <v>8657</v>
      </c>
      <c r="D142" s="3" t="n">
        <v>8847</v>
      </c>
      <c r="E142" s="3" t="n">
        <v>8847</v>
      </c>
      <c r="F142" s="3">
        <f>IF(AND(D142&lt;&gt;"",C142&lt;&gt;""),D142-C142,"")</f>
        <v/>
      </c>
      <c r="G142" s="4">
        <f>IF(AND(D142&lt;&gt;"",C142&lt;&gt;"",C142&lt;&gt;0),((D142/C142)^(1/2)-1)*100,IF(AND(E142&lt;&gt;"",B142&lt;&gt;"",B142&lt;&gt;0),((E142/B142)^(1/5)-1)*100,""))</f>
        <v/>
      </c>
    </row>
    <row r="143">
      <c r="A143" s="6" t="inlineStr">
        <is>
          <t>משהד</t>
        </is>
      </c>
      <c r="B143" s="7" t="n"/>
      <c r="C143" s="7" t="n">
        <v>8499</v>
      </c>
      <c r="D143" s="7" t="n">
        <v>8822</v>
      </c>
      <c r="E143" s="7" t="n">
        <v>8822</v>
      </c>
      <c r="F143" s="7">
        <f>IF(AND(D143&lt;&gt;"",C143&lt;&gt;""),D143-C143,"")</f>
        <v/>
      </c>
      <c r="G143" s="8">
        <f>IF(AND(D143&lt;&gt;"",C143&lt;&gt;"",C143&lt;&gt;0),((D143/C143)^(1/2)-1)*100,IF(AND(E143&lt;&gt;"",B143&lt;&gt;"",B143&lt;&gt;0),((E143/B143)^(1/5)-1)*100,""))</f>
        <v/>
      </c>
    </row>
    <row r="144">
      <c r="A144" s="2" t="inlineStr">
        <is>
          <t>בענה</t>
        </is>
      </c>
      <c r="B144" s="3" t="n"/>
      <c r="C144" s="3" t="n">
        <v>8518</v>
      </c>
      <c r="D144" s="3" t="n">
        <v>8713</v>
      </c>
      <c r="E144" s="3" t="n">
        <v>8713</v>
      </c>
      <c r="F144" s="3">
        <f>IF(AND(D144&lt;&gt;"",C144&lt;&gt;""),D144-C144,"")</f>
        <v/>
      </c>
      <c r="G144" s="4">
        <f>IF(AND(D144&lt;&gt;"",C144&lt;&gt;"",C144&lt;&gt;0),((D144/C144)^(1/2)-1)*100,IF(AND(E144&lt;&gt;"",B144&lt;&gt;"",B144&lt;&gt;0),((E144/B144)^(1/5)-1)*100,""))</f>
        <v/>
      </c>
    </row>
    <row r="145">
      <c r="A145" s="6" t="inlineStr">
        <is>
          <t>ראמה</t>
        </is>
      </c>
      <c r="B145" s="7" t="n"/>
      <c r="C145" s="7" t="n">
        <v>8472</v>
      </c>
      <c r="D145" s="7" t="n">
        <v>8406</v>
      </c>
      <c r="E145" s="7" t="n">
        <v>8406</v>
      </c>
      <c r="F145" s="7">
        <f>IF(AND(D145&lt;&gt;"",C145&lt;&gt;""),D145-C145,"")</f>
        <v/>
      </c>
      <c r="G145" s="8">
        <f>IF(AND(D145&lt;&gt;"",C145&lt;&gt;"",C145&lt;&gt;0),((D145/C145)^(1/2)-1)*100,IF(AND(E145&lt;&gt;"",B145&lt;&gt;"",B145&lt;&gt;0),((E145/B145)^(1/5)-1)*100,""))</f>
        <v/>
      </c>
    </row>
    <row r="146">
      <c r="A146" s="2" t="inlineStr">
        <is>
          <t>בסמת טבעון</t>
        </is>
      </c>
      <c r="B146" s="3" t="n"/>
      <c r="C146" s="3" t="n">
        <v>8043</v>
      </c>
      <c r="D146" s="3" t="n">
        <v>8268</v>
      </c>
      <c r="E146" s="3" t="n">
        <v>8268</v>
      </c>
      <c r="F146" s="3">
        <f>IF(AND(D146&lt;&gt;"",C146&lt;&gt;""),D146-C146,"")</f>
        <v/>
      </c>
      <c r="G146" s="4">
        <f>IF(AND(D146&lt;&gt;"",C146&lt;&gt;"",C146&lt;&gt;0),((D146/C146)^(1/2)-1)*100,IF(AND(E146&lt;&gt;"",B146&lt;&gt;"",B146&lt;&gt;0),((E146/B146)^(1/5)-1)*100,""))</f>
        <v/>
      </c>
    </row>
    <row r="147">
      <c r="A147" s="6" t="inlineStr">
        <is>
          <t>שלומי</t>
        </is>
      </c>
      <c r="B147" s="7" t="n"/>
      <c r="C147" s="7" t="n">
        <v>7497</v>
      </c>
      <c r="D147" s="7" t="n">
        <v>8226</v>
      </c>
      <c r="E147" s="7" t="n">
        <v>8226</v>
      </c>
      <c r="F147" s="7">
        <f>IF(AND(D147&lt;&gt;"",C147&lt;&gt;""),D147-C147,"")</f>
        <v/>
      </c>
      <c r="G147" s="8">
        <f>IF(AND(D147&lt;&gt;"",C147&lt;&gt;"",C147&lt;&gt;0),((D147/C147)^(1/2)-1)*100,IF(AND(E147&lt;&gt;"",B147&lt;&gt;"",B147&lt;&gt;0),((E147/B147)^(1/5)-1)*100,""))</f>
        <v/>
      </c>
    </row>
    <row r="148">
      <c r="A148" s="2" t="inlineStr">
        <is>
          <t>עומר</t>
        </is>
      </c>
      <c r="B148" s="3" t="n"/>
      <c r="C148" s="3" t="n">
        <v>8250</v>
      </c>
      <c r="D148" s="3" t="n">
        <v>8077</v>
      </c>
      <c r="E148" s="3" t="n">
        <v>8077</v>
      </c>
      <c r="F148" s="3">
        <f>IF(AND(D148&lt;&gt;"",C148&lt;&gt;""),D148-C148,"")</f>
        <v/>
      </c>
      <c r="G148" s="4">
        <f>IF(AND(D148&lt;&gt;"",C148&lt;&gt;"",C148&lt;&gt;0),((D148/C148)^(1/2)-1)*100,IF(AND(E148&lt;&gt;"",B148&lt;&gt;"",B148&lt;&gt;0),((E148/B148)^(1/5)-1)*100,""))</f>
        <v/>
      </c>
    </row>
    <row r="149">
      <c r="A149" s="6" t="inlineStr">
        <is>
          <t>להבים</t>
        </is>
      </c>
      <c r="B149" s="7" t="n"/>
      <c r="C149" s="7" t="n">
        <v>7686</v>
      </c>
      <c r="D149" s="7" t="n">
        <v>8028</v>
      </c>
      <c r="E149" s="7" t="n">
        <v>8028</v>
      </c>
      <c r="F149" s="7">
        <f>IF(AND(D149&lt;&gt;"",C149&lt;&gt;""),D149-C149,"")</f>
        <v/>
      </c>
      <c r="G149" s="8">
        <f>IF(AND(D149&lt;&gt;"",C149&lt;&gt;"",C149&lt;&gt;0),((D149/C149)^(1/2)-1)*100,IF(AND(E149&lt;&gt;"",B149&lt;&gt;"",B149&lt;&gt;0),((E149/B149)^(1/5)-1)*100,""))</f>
        <v/>
      </c>
    </row>
    <row r="150">
      <c r="A150" s="2" t="inlineStr">
        <is>
          <t>פרדסייה</t>
        </is>
      </c>
      <c r="B150" s="3" t="n"/>
      <c r="C150" s="3" t="n">
        <v>7743</v>
      </c>
      <c r="D150" s="3" t="n">
        <v>7972</v>
      </c>
      <c r="E150" s="3" t="n">
        <v>7972</v>
      </c>
      <c r="F150" s="3">
        <f>IF(AND(D150&lt;&gt;"",C150&lt;&gt;""),D150-C150,"")</f>
        <v/>
      </c>
      <c r="G150" s="4">
        <f>IF(AND(D150&lt;&gt;"",C150&lt;&gt;"",C150&lt;&gt;0),((D150/C150)^(1/2)-1)*100,IF(AND(E150&lt;&gt;"",B150&lt;&gt;"",B150&lt;&gt;0),((E150/B150)^(1/5)-1)*100,""))</f>
        <v/>
      </c>
    </row>
    <row r="151">
      <c r="A151" s="6" t="inlineStr">
        <is>
          <t>זמר</t>
        </is>
      </c>
      <c r="B151" s="7" t="n"/>
      <c r="C151" s="7" t="n">
        <v>7482</v>
      </c>
      <c r="D151" s="7" t="n">
        <v>7953</v>
      </c>
      <c r="E151" s="7" t="n">
        <v>7953</v>
      </c>
      <c r="F151" s="7">
        <f>IF(AND(D151&lt;&gt;"",C151&lt;&gt;""),D151-C151,"")</f>
        <v/>
      </c>
      <c r="G151" s="8">
        <f>IF(AND(D151&lt;&gt;"",C151&lt;&gt;"",C151&lt;&gt;0),((D151/C151)^(1/2)-1)*100,IF(AND(E151&lt;&gt;"",B151&lt;&gt;"",B151&lt;&gt;0),((E151/B151)^(1/5)-1)*100,""))</f>
        <v/>
      </c>
    </row>
    <row r="152">
      <c r="A152" s="2" t="inlineStr">
        <is>
          <t>רמת ישי</t>
        </is>
      </c>
      <c r="B152" s="3" t="n"/>
      <c r="C152" s="3" t="n">
        <v>7880</v>
      </c>
      <c r="D152" s="3" t="n">
        <v>7953</v>
      </c>
      <c r="E152" s="3" t="n">
        <v>7953</v>
      </c>
      <c r="F152" s="3">
        <f>IF(AND(D152&lt;&gt;"",C152&lt;&gt;""),D152-C152,"")</f>
        <v/>
      </c>
      <c r="G152" s="4">
        <f>IF(AND(D152&lt;&gt;"",C152&lt;&gt;"",C152&lt;&gt;0),((D152/C152)^(1/2)-1)*100,IF(AND(E152&lt;&gt;"",B152&lt;&gt;"",B152&lt;&gt;0),((E152/B152)^(1/5)-1)*100,""))</f>
        <v/>
      </c>
    </row>
    <row r="153">
      <c r="A153" s="6" t="inlineStr">
        <is>
          <t>קריית יערים</t>
        </is>
      </c>
      <c r="B153" s="7" t="n"/>
      <c r="C153" s="7" t="n">
        <v>7161</v>
      </c>
      <c r="D153" s="7" t="n">
        <v>7839</v>
      </c>
      <c r="E153" s="7" t="n">
        <v>7839</v>
      </c>
      <c r="F153" s="7">
        <f>IF(AND(D153&lt;&gt;"",C153&lt;&gt;""),D153-C153,"")</f>
        <v/>
      </c>
      <c r="G153" s="8">
        <f>IF(AND(D153&lt;&gt;"",C153&lt;&gt;"",C153&lt;&gt;0),((D153/C153)^(1/2)-1)*100,IF(AND(E153&lt;&gt;"",B153&lt;&gt;"",B153&lt;&gt;0),((E153/B153)^(1/5)-1)*100,""))</f>
        <v/>
      </c>
    </row>
    <row r="154">
      <c r="A154" s="2" t="inlineStr">
        <is>
          <t>שעב</t>
        </is>
      </c>
      <c r="B154" s="3" t="n"/>
      <c r="C154" s="3" t="n">
        <v>7445</v>
      </c>
      <c r="D154" s="3" t="n">
        <v>7790</v>
      </c>
      <c r="E154" s="3" t="n">
        <v>7790</v>
      </c>
      <c r="F154" s="3">
        <f>IF(AND(D154&lt;&gt;"",C154&lt;&gt;""),D154-C154,"")</f>
        <v/>
      </c>
      <c r="G154" s="4">
        <f>IF(AND(D154&lt;&gt;"",C154&lt;&gt;"",C154&lt;&gt;0),((D154/C154)^(1/2)-1)*100,IF(AND(E154&lt;&gt;"",B154&lt;&gt;"",B154&lt;&gt;0),((E154/B154)^(1/5)-1)*100,""))</f>
        <v/>
      </c>
    </row>
    <row r="155">
      <c r="A155" s="6" t="inlineStr">
        <is>
          <t>צור יצחק</t>
        </is>
      </c>
      <c r="B155" s="7" t="n"/>
      <c r="C155" s="7" t="n">
        <v>7303</v>
      </c>
      <c r="D155" s="7" t="n">
        <v>7780</v>
      </c>
      <c r="E155" s="7" t="n">
        <v>7780</v>
      </c>
      <c r="F155" s="7">
        <f>IF(AND(D155&lt;&gt;"",C155&lt;&gt;""),D155-C155,"")</f>
        <v/>
      </c>
      <c r="G155" s="8">
        <f>IF(AND(D155&lt;&gt;"",C155&lt;&gt;"",C155&lt;&gt;0),((D155/C155)^(1/2)-1)*100,IF(AND(E155&lt;&gt;"",B155&lt;&gt;"",B155&lt;&gt;0),((E155/B155)^(1/5)-1)*100,""))</f>
        <v/>
      </c>
    </row>
    <row r="156">
      <c r="A156" s="2" t="inlineStr">
        <is>
          <t>בית דגן</t>
        </is>
      </c>
      <c r="B156" s="3" t="n"/>
      <c r="C156" s="3" t="n">
        <v>7616</v>
      </c>
      <c r="D156" s="3" t="n">
        <v>7727</v>
      </c>
      <c r="E156" s="3" t="n">
        <v>7727</v>
      </c>
      <c r="F156" s="3">
        <f>IF(AND(D156&lt;&gt;"",C156&lt;&gt;""),D156-C156,"")</f>
        <v/>
      </c>
      <c r="G156" s="4">
        <f>IF(AND(D156&lt;&gt;"",C156&lt;&gt;"",C156&lt;&gt;0),((D156/C156)^(1/2)-1)*100,IF(AND(E156&lt;&gt;"",B156&lt;&gt;"",B156&lt;&gt;0),((E156/B156)^(1/5)-1)*100,""))</f>
        <v/>
      </c>
    </row>
    <row r="157">
      <c r="A157" s="6" t="inlineStr">
        <is>
          <t>טובא-זנגרייה</t>
        </is>
      </c>
      <c r="B157" s="7" t="n"/>
      <c r="C157" s="7" t="n">
        <v>6935</v>
      </c>
      <c r="D157" s="7" t="n">
        <v>7173</v>
      </c>
      <c r="E157" s="7" t="n">
        <v>7173</v>
      </c>
      <c r="F157" s="7">
        <f>IF(AND(D157&lt;&gt;"",C157&lt;&gt;""),D157-C157,"")</f>
        <v/>
      </c>
      <c r="G157" s="8">
        <f>IF(AND(D157&lt;&gt;"",C157&lt;&gt;"",C157&lt;&gt;0),((D157/C157)^(1/2)-1)*100,IF(AND(E157&lt;&gt;"",B157&lt;&gt;"",B157&lt;&gt;0),((E157/B157)^(1/5)-1)*100,""))</f>
        <v/>
      </c>
    </row>
  </sheetData>
  <autoFilter ref="A1:G15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2" t="inlineStr">
        <is>
          <t>עיר</t>
        </is>
      </c>
      <c r="B1" s="12" t="inlineStr">
        <is>
          <t>קוד למ"ס</t>
        </is>
      </c>
      <c r="C1" s="12" t="inlineStr">
        <is>
          <t>נכסים חדשים</t>
        </is>
      </c>
      <c r="D1" s="12" t="inlineStr">
        <is>
          <t>שינוי שנתי %</t>
        </is>
      </c>
      <c r="E1" s="12" t="inlineStr">
        <is>
          <t>נכסים יד שנייה</t>
        </is>
      </c>
      <c r="F1" s="12" t="inlineStr">
        <is>
          <t>שינוי שנתי %</t>
        </is>
      </c>
      <c r="G1" s="12" t="inlineStr">
        <is>
          <t>ימים ממוצע</t>
        </is>
      </c>
      <c r="H1" s="12" t="inlineStr">
        <is>
          <t>שינוי שנתי %</t>
        </is>
      </c>
      <c r="I1" s="12" t="inlineStr">
        <is>
          <t>קונים</t>
        </is>
      </c>
      <c r="J1" s="12" t="inlineStr">
        <is>
          <t>שינוי שנתי %</t>
        </is>
      </c>
      <c r="K1" s="12" t="inlineStr">
        <is>
          <t>סוג שוק</t>
        </is>
      </c>
    </row>
    <row r="2">
      <c r="A2" s="13" t="inlineStr">
        <is>
          <t>חיפה</t>
        </is>
      </c>
      <c r="B2" s="13" t="inlineStr">
        <is>
          <t>4000</t>
        </is>
      </c>
      <c r="C2" s="14" t="n">
        <v>1070</v>
      </c>
      <c r="D2" s="15" t="n">
        <v>0.14</v>
      </c>
      <c r="E2" s="14" t="n">
        <v>4559</v>
      </c>
      <c r="F2" s="15" t="n">
        <v>0.03</v>
      </c>
      <c r="G2" s="14" t="n">
        <v>52</v>
      </c>
      <c r="H2" s="16" t="n">
        <v>-0.06</v>
      </c>
      <c r="I2" s="14" t="n">
        <v>92923</v>
      </c>
      <c r="J2" s="17" t="n">
        <v>-0.11</v>
      </c>
      <c r="K2" s="14" t="inlineStr">
        <is>
          <t>שוק מוכרים</t>
        </is>
      </c>
    </row>
    <row r="3">
      <c r="A3" s="13" t="inlineStr">
        <is>
          <t>תל אביב-יפו</t>
        </is>
      </c>
      <c r="B3" s="13" t="inlineStr">
        <is>
          <t>5000</t>
        </is>
      </c>
      <c r="C3" s="14" t="n">
        <v>5439</v>
      </c>
      <c r="D3" s="15" t="n">
        <v>0.36</v>
      </c>
      <c r="E3" s="14" t="n">
        <v>7298</v>
      </c>
      <c r="F3" s="15" t="n">
        <v>0.14</v>
      </c>
      <c r="G3" s="14" t="n">
        <v>39</v>
      </c>
      <c r="H3" s="16" t="n">
        <v>-0.03</v>
      </c>
      <c r="I3" s="14" t="n">
        <v>62441</v>
      </c>
      <c r="J3" s="17" t="n">
        <v>-0.14</v>
      </c>
      <c r="K3" s="14" t="inlineStr">
        <is>
          <t>שוק מוכרים</t>
        </is>
      </c>
    </row>
    <row r="4">
      <c r="A4" s="13" t="inlineStr">
        <is>
          <t>ירושלים</t>
        </is>
      </c>
      <c r="B4" s="13" t="inlineStr">
        <is>
          <t>3000</t>
        </is>
      </c>
      <c r="C4" s="14" t="n">
        <v>1687</v>
      </c>
      <c r="D4" s="15" t="n">
        <v>0.27</v>
      </c>
      <c r="E4" s="14" t="n">
        <v>5131</v>
      </c>
      <c r="F4" s="15" t="n">
        <v>0.1</v>
      </c>
      <c r="G4" s="14" t="n">
        <v>42</v>
      </c>
      <c r="H4" s="16" t="n">
        <v>-0.11</v>
      </c>
      <c r="I4" s="14" t="n">
        <v>50478</v>
      </c>
      <c r="J4" s="17" t="n">
        <v>-0.2</v>
      </c>
      <c r="K4" s="14" t="inlineStr">
        <is>
          <t>שוק מוכרים</t>
        </is>
      </c>
    </row>
    <row r="5">
      <c r="A5" s="13" t="inlineStr">
        <is>
          <t>ראשון לציון</t>
        </is>
      </c>
      <c r="B5" s="13" t="inlineStr">
        <is>
          <t>8300</t>
        </is>
      </c>
      <c r="C5" s="14" t="n">
        <v>1245</v>
      </c>
      <c r="D5" s="15" t="n">
        <v>0.41</v>
      </c>
      <c r="E5" s="14" t="n">
        <v>2702</v>
      </c>
      <c r="F5" s="15" t="n">
        <v>0.22</v>
      </c>
      <c r="G5" s="14" t="n">
        <v>44</v>
      </c>
      <c r="H5" s="16" t="n">
        <v>0.05</v>
      </c>
      <c r="I5" s="14" t="n">
        <v>35580</v>
      </c>
      <c r="J5" s="17" t="n">
        <v>-0.14</v>
      </c>
      <c r="K5" s="14" t="inlineStr">
        <is>
          <t>שוק מוכרים</t>
        </is>
      </c>
    </row>
    <row r="6">
      <c r="A6" s="13" t="inlineStr">
        <is>
          <t>פתח תקווה</t>
        </is>
      </c>
      <c r="B6" s="13" t="inlineStr">
        <is>
          <t>7900</t>
        </is>
      </c>
      <c r="C6" s="14" t="n">
        <v>990</v>
      </c>
      <c r="D6" s="15" t="n">
        <v>0.36</v>
      </c>
      <c r="E6" s="14" t="n">
        <v>2200</v>
      </c>
      <c r="F6" s="17" t="n">
        <v>-0.03</v>
      </c>
      <c r="G6" s="14" t="n">
        <v>43</v>
      </c>
      <c r="H6" s="16" t="n">
        <v>-0.12</v>
      </c>
      <c r="I6" s="14" t="n">
        <v>31522</v>
      </c>
      <c r="J6" s="15" t="n">
        <v>0.09</v>
      </c>
      <c r="K6" s="14" t="inlineStr">
        <is>
          <t>שוק מוכרים</t>
        </is>
      </c>
    </row>
    <row r="7">
      <c r="A7" s="13" t="inlineStr">
        <is>
          <t>אשדוד</t>
        </is>
      </c>
      <c r="B7" s="13" t="inlineStr">
        <is>
          <t>0070</t>
        </is>
      </c>
      <c r="C7" s="14" t="n">
        <v>997</v>
      </c>
      <c r="D7" s="15" t="n">
        <v>0.08</v>
      </c>
      <c r="E7" s="14" t="n">
        <v>1973</v>
      </c>
      <c r="F7" s="15" t="n">
        <v>0.1</v>
      </c>
      <c r="G7" s="14" t="n">
        <v>46</v>
      </c>
      <c r="H7" s="16" t="n">
        <v>-0.02</v>
      </c>
      <c r="I7" s="14" t="n">
        <v>25432</v>
      </c>
      <c r="J7" s="17" t="n">
        <v>-0.23</v>
      </c>
      <c r="K7" s="14" t="inlineStr">
        <is>
          <t>שוק מוכרים</t>
        </is>
      </c>
    </row>
    <row r="8">
      <c r="A8" s="13" t="inlineStr">
        <is>
          <t>באר שבע</t>
        </is>
      </c>
      <c r="B8" s="13" t="inlineStr">
        <is>
          <t>9000</t>
        </is>
      </c>
      <c r="C8" s="14" t="n">
        <v>677</v>
      </c>
      <c r="D8" s="15" t="n">
        <v>0.2</v>
      </c>
      <c r="E8" s="14" t="n">
        <v>2247</v>
      </c>
      <c r="F8" s="15" t="n">
        <v>0.07000000000000001</v>
      </c>
      <c r="G8" s="14" t="n">
        <v>52</v>
      </c>
      <c r="H8" s="16" t="n">
        <v>-0.02</v>
      </c>
      <c r="I8" s="14" t="n">
        <v>23218</v>
      </c>
      <c r="J8" s="17" t="n">
        <v>-0.22</v>
      </c>
      <c r="K8" s="14" t="inlineStr">
        <is>
          <t>שוק מוכרים</t>
        </is>
      </c>
    </row>
    <row r="9">
      <c r="A9" s="13" t="inlineStr">
        <is>
          <t>נתניה</t>
        </is>
      </c>
      <c r="B9" s="13" t="inlineStr">
        <is>
          <t>7400</t>
        </is>
      </c>
      <c r="C9" s="14" t="n">
        <v>1132</v>
      </c>
      <c r="D9" s="15" t="n">
        <v>0</v>
      </c>
      <c r="E9" s="14" t="n">
        <v>2534</v>
      </c>
      <c r="F9" s="15" t="n">
        <v>0.09</v>
      </c>
      <c r="G9" s="14" t="n">
        <v>42</v>
      </c>
      <c r="H9" s="16" t="n">
        <v>-0.09</v>
      </c>
      <c r="I9" s="14" t="n">
        <v>22994</v>
      </c>
      <c r="J9" s="17" t="n">
        <v>-0.23</v>
      </c>
      <c r="K9" s="14" t="inlineStr">
        <is>
          <t>שוק מוכרים</t>
        </is>
      </c>
    </row>
    <row r="10">
      <c r="A10" s="13" t="inlineStr">
        <is>
          <t>קריית ביאליק</t>
        </is>
      </c>
      <c r="B10" s="13" t="inlineStr">
        <is>
          <t>9500</t>
        </is>
      </c>
      <c r="C10" s="14" t="n">
        <v>272</v>
      </c>
      <c r="D10" s="15" t="n">
        <v>0.24</v>
      </c>
      <c r="E10" s="14" t="n">
        <v>601</v>
      </c>
      <c r="F10" s="15" t="n">
        <v>0.09</v>
      </c>
      <c r="G10" s="14" t="n">
        <v>47</v>
      </c>
      <c r="H10" s="16" t="n">
        <v>-0.02</v>
      </c>
      <c r="I10" s="14" t="n">
        <v>19338</v>
      </c>
      <c r="J10" s="15" t="n">
        <v>0.35</v>
      </c>
      <c r="K10" s="14" t="inlineStr">
        <is>
          <t>שוק מוכרים</t>
        </is>
      </c>
    </row>
    <row r="11">
      <c r="A11" s="13" t="inlineStr">
        <is>
          <t>חולון</t>
        </is>
      </c>
      <c r="B11" s="13" t="inlineStr">
        <is>
          <t>6600</t>
        </is>
      </c>
      <c r="C11" s="14" t="n">
        <v>427</v>
      </c>
      <c r="D11" s="17" t="n">
        <v>-0.17</v>
      </c>
      <c r="E11" s="14" t="n">
        <v>1702</v>
      </c>
      <c r="F11" s="15" t="n">
        <v>0.03</v>
      </c>
      <c r="G11" s="14" t="n">
        <v>36</v>
      </c>
      <c r="H11" s="16" t="n">
        <v>-0.12</v>
      </c>
      <c r="I11" s="14" t="n">
        <v>15024</v>
      </c>
      <c r="J11" s="17" t="n">
        <v>-0.24</v>
      </c>
      <c r="K11" s="14" t="inlineStr">
        <is>
          <t>שוק מוכרים</t>
        </is>
      </c>
    </row>
    <row r="12">
      <c r="A12" s="13" t="inlineStr">
        <is>
          <t>רמת גן</t>
        </is>
      </c>
      <c r="B12" s="13" t="inlineStr">
        <is>
          <t>8600</t>
        </is>
      </c>
      <c r="C12" s="14" t="n">
        <v>580</v>
      </c>
      <c r="D12" s="15" t="n">
        <v>0.35</v>
      </c>
      <c r="E12" s="14" t="n">
        <v>1571</v>
      </c>
      <c r="F12" s="15" t="n">
        <v>0.06</v>
      </c>
      <c r="G12" s="14" t="n">
        <v>39</v>
      </c>
      <c r="H12" s="16" t="n">
        <v>-0.03</v>
      </c>
      <c r="I12" s="14" t="n">
        <v>14831</v>
      </c>
      <c r="J12" s="17" t="n">
        <v>-0.22</v>
      </c>
      <c r="K12" s="14" t="inlineStr">
        <is>
          <t>שוק מוכרים</t>
        </is>
      </c>
    </row>
    <row r="13">
      <c r="A13" s="13" t="inlineStr">
        <is>
          <t>אשקלון</t>
        </is>
      </c>
      <c r="B13" s="13" t="inlineStr">
        <is>
          <t>7100</t>
        </is>
      </c>
      <c r="C13" s="14" t="n">
        <v>618</v>
      </c>
      <c r="D13" s="15" t="n">
        <v>0.03</v>
      </c>
      <c r="E13" s="14" t="n">
        <v>1457</v>
      </c>
      <c r="F13" s="15" t="n">
        <v>0.07000000000000001</v>
      </c>
      <c r="G13" s="14" t="n">
        <v>46</v>
      </c>
      <c r="H13" s="16" t="n">
        <v>-0.02</v>
      </c>
      <c r="I13" s="14" t="n">
        <v>14618</v>
      </c>
      <c r="J13" s="17" t="n">
        <v>-0.31</v>
      </c>
      <c r="K13" s="14" t="inlineStr">
        <is>
          <t>שוק מוכרים</t>
        </is>
      </c>
    </row>
    <row r="14">
      <c r="A14" s="13" t="inlineStr">
        <is>
          <t>בני ברק</t>
        </is>
      </c>
      <c r="B14" s="13" t="inlineStr">
        <is>
          <t>6100</t>
        </is>
      </c>
      <c r="C14" s="14" t="n">
        <v>260</v>
      </c>
      <c r="D14" s="15" t="n">
        <v>0.18</v>
      </c>
      <c r="E14" s="14" t="n">
        <v>1478</v>
      </c>
      <c r="F14" s="15" t="n">
        <v>0.15</v>
      </c>
      <c r="G14" s="14" t="n">
        <v>37</v>
      </c>
      <c r="H14" s="16" t="n">
        <v>-0.14</v>
      </c>
      <c r="I14" s="14" t="n">
        <v>14399</v>
      </c>
      <c r="J14" s="17" t="n">
        <v>-0.26</v>
      </c>
      <c r="K14" s="14" t="inlineStr">
        <is>
          <t>שוק מוכרים</t>
        </is>
      </c>
    </row>
    <row r="15">
      <c r="A15" s="13" t="inlineStr">
        <is>
          <t>מודיעין-מכבים-רעות</t>
        </is>
      </c>
      <c r="B15" s="13" t="inlineStr">
        <is>
          <t>1200</t>
        </is>
      </c>
      <c r="C15" s="14" t="n">
        <v>420</v>
      </c>
      <c r="D15" s="15" t="n">
        <v>0.13</v>
      </c>
      <c r="E15" s="14" t="n">
        <v>1068</v>
      </c>
      <c r="F15" s="15" t="n">
        <v>0.01</v>
      </c>
      <c r="G15" s="14" t="n">
        <v>35</v>
      </c>
      <c r="H15" s="16" t="n">
        <v>-0.1</v>
      </c>
      <c r="I15" s="14" t="n">
        <v>13005</v>
      </c>
      <c r="J15" s="17" t="n">
        <v>-0.18</v>
      </c>
      <c r="K15" s="14" t="inlineStr">
        <is>
          <t>שוק מוכרים</t>
        </is>
      </c>
    </row>
    <row r="16">
      <c r="A16" s="13" t="inlineStr">
        <is>
          <t>נצרת</t>
        </is>
      </c>
      <c r="B16" s="13" t="inlineStr">
        <is>
          <t>7300</t>
        </is>
      </c>
      <c r="C16" s="14" t="n">
        <v>175</v>
      </c>
      <c r="D16" s="17" t="n">
        <v>-0.1</v>
      </c>
      <c r="E16" s="14" t="n">
        <v>485</v>
      </c>
      <c r="F16" s="15" t="n">
        <v>0.05</v>
      </c>
      <c r="G16" s="14" t="n">
        <v>49</v>
      </c>
      <c r="H16" s="16" t="n">
        <v>0</v>
      </c>
      <c r="I16" s="14" t="n">
        <v>12523</v>
      </c>
      <c r="J16" s="17" t="n">
        <v>-0.19</v>
      </c>
      <c r="K16" s="14" t="inlineStr">
        <is>
          <t>שוק מוכרים</t>
        </is>
      </c>
    </row>
    <row r="17">
      <c r="A17" s="13" t="inlineStr">
        <is>
          <t>רחובות</t>
        </is>
      </c>
      <c r="B17" s="13" t="inlineStr">
        <is>
          <t>8400</t>
        </is>
      </c>
      <c r="C17" s="14" t="n">
        <v>444</v>
      </c>
      <c r="D17" s="15" t="n">
        <v>0.28</v>
      </c>
      <c r="E17" s="14" t="n">
        <v>970</v>
      </c>
      <c r="F17" s="15" t="n">
        <v>0.06</v>
      </c>
      <c r="G17" s="14" t="n">
        <v>44</v>
      </c>
      <c r="H17" s="16" t="n">
        <v>-0.15</v>
      </c>
      <c r="I17" s="14" t="n">
        <v>12032</v>
      </c>
      <c r="J17" s="17" t="n">
        <v>-0.3</v>
      </c>
      <c r="K17" s="14" t="inlineStr">
        <is>
          <t>שוק מוכרים</t>
        </is>
      </c>
    </row>
    <row r="18">
      <c r="A18" s="13" t="inlineStr">
        <is>
          <t>בית שמש</t>
        </is>
      </c>
      <c r="B18" s="13" t="inlineStr">
        <is>
          <t>2610</t>
        </is>
      </c>
      <c r="C18" s="14" t="n">
        <v>695</v>
      </c>
      <c r="D18" s="15" t="n">
        <v>0.11</v>
      </c>
      <c r="E18" s="14" t="n">
        <v>1340</v>
      </c>
      <c r="F18" s="15" t="n">
        <v>0.23</v>
      </c>
      <c r="G18" s="14" t="n">
        <v>42</v>
      </c>
      <c r="H18" s="16" t="n">
        <v>-0.05</v>
      </c>
      <c r="I18" s="14" t="n">
        <v>10939</v>
      </c>
      <c r="J18" s="17" t="n">
        <v>-0.14</v>
      </c>
      <c r="K18" s="14" t="inlineStr">
        <is>
          <t>שוק מוכרים</t>
        </is>
      </c>
    </row>
    <row r="19">
      <c r="A19" s="13" t="inlineStr">
        <is>
          <t>בת ים</t>
        </is>
      </c>
      <c r="B19" s="13" t="inlineStr">
        <is>
          <t>6200</t>
        </is>
      </c>
      <c r="C19" s="14" t="n">
        <v>124</v>
      </c>
      <c r="D19" s="17" t="n">
        <v>-0.01</v>
      </c>
      <c r="E19" s="14" t="n">
        <v>1222</v>
      </c>
      <c r="F19" s="15" t="n">
        <v>0.07000000000000001</v>
      </c>
      <c r="G19" s="14" t="n">
        <v>38</v>
      </c>
      <c r="H19" s="16" t="n">
        <v>-0.08</v>
      </c>
      <c r="I19" s="14" t="n">
        <v>10254</v>
      </c>
      <c r="J19" s="17" t="n">
        <v>-0.29</v>
      </c>
      <c r="K19" s="14" t="inlineStr">
        <is>
          <t>שוק מוכרים</t>
        </is>
      </c>
    </row>
    <row r="20">
      <c r="A20" s="13" t="inlineStr">
        <is>
          <t>קריית טבעון</t>
        </is>
      </c>
      <c r="B20" s="13" t="inlineStr">
        <is>
          <t>9700</t>
        </is>
      </c>
      <c r="C20" s="14" t="n">
        <v>561</v>
      </c>
      <c r="D20" s="15" t="n">
        <v>0.31</v>
      </c>
      <c r="E20" s="14" t="n">
        <v>806</v>
      </c>
      <c r="F20" s="15" t="n">
        <v>0.04</v>
      </c>
      <c r="G20" s="14" t="n">
        <v>49</v>
      </c>
      <c r="H20" s="16" t="n">
        <v>0</v>
      </c>
      <c r="I20" s="14" t="n">
        <v>10142</v>
      </c>
      <c r="J20" s="17" t="n">
        <v>-0.23</v>
      </c>
      <c r="K20" s="14" t="inlineStr">
        <is>
          <t>שוק מוכרים</t>
        </is>
      </c>
    </row>
    <row r="21">
      <c r="A21" s="13" t="inlineStr">
        <is>
          <t>חדרה</t>
        </is>
      </c>
      <c r="B21" s="13" t="inlineStr">
        <is>
          <t>6500</t>
        </is>
      </c>
      <c r="C21" s="14" t="n">
        <v>348</v>
      </c>
      <c r="D21" s="15" t="n">
        <v>0.14</v>
      </c>
      <c r="E21" s="14" t="n">
        <v>788</v>
      </c>
      <c r="F21" s="15" t="n">
        <v>0.09</v>
      </c>
      <c r="G21" s="14" t="n">
        <v>48</v>
      </c>
      <c r="H21" s="16" t="n">
        <v>-0.04</v>
      </c>
      <c r="I21" s="14" t="n">
        <v>10124</v>
      </c>
      <c r="J21" s="17" t="n">
        <v>-0.14</v>
      </c>
      <c r="K21" s="14" t="inlineStr">
        <is>
          <t>שוק מוכרים</t>
        </is>
      </c>
    </row>
    <row r="22">
      <c r="A22" s="13" t="inlineStr">
        <is>
          <t>עפולה</t>
        </is>
      </c>
      <c r="B22" s="13" t="inlineStr">
        <is>
          <t>7800</t>
        </is>
      </c>
      <c r="C22" s="14" t="n">
        <v>270</v>
      </c>
      <c r="D22" s="15" t="n">
        <v>0.05</v>
      </c>
      <c r="E22" s="14" t="n">
        <v>390</v>
      </c>
      <c r="F22" s="17" t="n">
        <v>-0.18</v>
      </c>
      <c r="G22" s="14" t="n">
        <v>46</v>
      </c>
      <c r="H22" s="16" t="n">
        <v>0.35</v>
      </c>
      <c r="I22" s="14" t="n">
        <v>10110</v>
      </c>
      <c r="J22" s="17" t="n">
        <v>-0.2</v>
      </c>
      <c r="K22" s="14" t="inlineStr">
        <is>
          <t>שוק מוכרים</t>
        </is>
      </c>
    </row>
    <row r="23">
      <c r="A23" s="13" t="inlineStr">
        <is>
          <t>כפר סבא</t>
        </is>
      </c>
      <c r="B23" s="13" t="inlineStr">
        <is>
          <t>6900</t>
        </is>
      </c>
      <c r="C23" s="14" t="n">
        <v>199</v>
      </c>
      <c r="D23" s="15" t="n">
        <v>0.2</v>
      </c>
      <c r="E23" s="14" t="n">
        <v>733</v>
      </c>
      <c r="F23" s="15" t="n">
        <v>0.14</v>
      </c>
      <c r="G23" s="14" t="n">
        <v>42</v>
      </c>
      <c r="H23" s="16" t="n">
        <v>-0.02</v>
      </c>
      <c r="I23" s="14" t="n">
        <v>10068</v>
      </c>
      <c r="J23" s="17" t="n">
        <v>-0.23</v>
      </c>
      <c r="K23" s="14" t="inlineStr">
        <is>
          <t>שוק מוכרים</t>
        </is>
      </c>
    </row>
    <row r="24">
      <c r="A24" s="13" t="inlineStr">
        <is>
          <t>הרצליה</t>
        </is>
      </c>
      <c r="B24" s="13" t="inlineStr">
        <is>
          <t>6400</t>
        </is>
      </c>
      <c r="C24" s="14" t="n">
        <v>452</v>
      </c>
      <c r="D24" s="15" t="n">
        <v>0.42</v>
      </c>
      <c r="E24" s="14" t="n">
        <v>1002</v>
      </c>
      <c r="F24" s="15" t="n">
        <v>0.01</v>
      </c>
      <c r="G24" s="14" t="n">
        <v>39</v>
      </c>
      <c r="H24" s="16" t="n">
        <v>-0.03</v>
      </c>
      <c r="I24" s="14" t="n">
        <v>9879</v>
      </c>
      <c r="J24" s="17" t="n">
        <v>-0.23</v>
      </c>
      <c r="K24" s="14" t="inlineStr">
        <is>
          <t>שוק מוכרים</t>
        </is>
      </c>
    </row>
    <row r="25">
      <c r="A25" s="13" t="inlineStr">
        <is>
          <t>קריית אתא</t>
        </is>
      </c>
      <c r="B25" s="13" t="inlineStr">
        <is>
          <t>6700</t>
        </is>
      </c>
      <c r="C25" s="14" t="n">
        <v>268</v>
      </c>
      <c r="D25" s="15" t="n">
        <v>0</v>
      </c>
      <c r="E25" s="14" t="n">
        <v>743</v>
      </c>
      <c r="F25" s="15" t="n">
        <v>0.04</v>
      </c>
      <c r="G25" s="14" t="n">
        <v>49</v>
      </c>
      <c r="H25" s="16" t="n">
        <v>0.02</v>
      </c>
      <c r="I25" s="14" t="n">
        <v>9806</v>
      </c>
      <c r="J25" s="17" t="n">
        <v>-0.17</v>
      </c>
      <c r="K25" s="14" t="inlineStr">
        <is>
          <t>שוק מוכרים</t>
        </is>
      </c>
    </row>
    <row r="26">
      <c r="A26" s="13" t="inlineStr">
        <is>
          <t>טבריה</t>
        </is>
      </c>
      <c r="B26" s="13" t="inlineStr">
        <is>
          <t>6700</t>
        </is>
      </c>
      <c r="C26" s="14" t="n">
        <v>268</v>
      </c>
      <c r="D26" s="15" t="n">
        <v>0</v>
      </c>
      <c r="E26" s="14" t="n">
        <v>743</v>
      </c>
      <c r="F26" s="15" t="n">
        <v>0.04</v>
      </c>
      <c r="G26" s="14" t="n">
        <v>49</v>
      </c>
      <c r="H26" s="16" t="n">
        <v>0.02</v>
      </c>
      <c r="I26" s="14" t="n">
        <v>9806</v>
      </c>
      <c r="J26" s="17" t="n">
        <v>-0.17</v>
      </c>
      <c r="K26" s="14" t="inlineStr">
        <is>
          <t>שוק מוכרים</t>
        </is>
      </c>
    </row>
    <row r="27">
      <c r="A27" s="13" t="inlineStr">
        <is>
          <t>יבנה</t>
        </is>
      </c>
      <c r="B27" s="13" t="inlineStr">
        <is>
          <t>2660</t>
        </is>
      </c>
      <c r="C27" s="14" t="n">
        <v>439</v>
      </c>
      <c r="D27" s="15" t="n">
        <v>0.1</v>
      </c>
      <c r="E27" s="14" t="n">
        <v>519</v>
      </c>
      <c r="F27" s="15" t="n">
        <v>0.32</v>
      </c>
      <c r="G27" s="14" t="n">
        <v>47</v>
      </c>
      <c r="H27" s="16" t="n">
        <v>-0.06</v>
      </c>
      <c r="I27" s="14" t="n">
        <v>8919</v>
      </c>
      <c r="J27" s="17" t="n">
        <v>-0.22</v>
      </c>
      <c r="K27" s="14" t="inlineStr">
        <is>
          <t>שוק מוכרים</t>
        </is>
      </c>
    </row>
    <row r="28">
      <c r="A28" s="13" t="inlineStr">
        <is>
          <t>קריית גת</t>
        </is>
      </c>
      <c r="B28" s="13" t="inlineStr">
        <is>
          <t>6800</t>
        </is>
      </c>
      <c r="C28" s="14" t="n">
        <v>460</v>
      </c>
      <c r="D28" s="15" t="n">
        <v>0.47</v>
      </c>
      <c r="E28" s="14" t="n">
        <v>648</v>
      </c>
      <c r="F28" s="15" t="n">
        <v>0.3</v>
      </c>
      <c r="G28" s="14" t="n">
        <v>50</v>
      </c>
      <c r="H28" s="16" t="n">
        <v>0</v>
      </c>
      <c r="I28" s="14" t="n">
        <v>8893</v>
      </c>
      <c r="J28" s="17" t="n">
        <v>-0.14</v>
      </c>
      <c r="K28" s="14" t="inlineStr">
        <is>
          <t>שוק מוכרים</t>
        </is>
      </c>
    </row>
    <row r="29">
      <c r="A29" s="13" t="inlineStr">
        <is>
          <t>רעננה</t>
        </is>
      </c>
      <c r="B29" s="13" t="inlineStr">
        <is>
          <t>8700</t>
        </is>
      </c>
      <c r="C29" s="14" t="n">
        <v>218</v>
      </c>
      <c r="D29" s="15" t="n">
        <v>0.37</v>
      </c>
      <c r="E29" s="14" t="n">
        <v>601</v>
      </c>
      <c r="F29" s="15" t="n">
        <v>0.15</v>
      </c>
      <c r="G29" s="14" t="n">
        <v>39</v>
      </c>
      <c r="H29" s="16" t="n">
        <v>-0.1</v>
      </c>
      <c r="I29" s="14" t="n">
        <v>7693</v>
      </c>
      <c r="J29" s="17" t="n">
        <v>-0.26</v>
      </c>
      <c r="K29" s="14" t="inlineStr">
        <is>
          <t>שוק מוכרים</t>
        </is>
      </c>
    </row>
    <row r="30">
      <c r="A30" s="13" t="inlineStr">
        <is>
          <t>אילת</t>
        </is>
      </c>
      <c r="B30" s="13" t="inlineStr">
        <is>
          <t>2600</t>
        </is>
      </c>
      <c r="C30" s="14" t="n">
        <v>211</v>
      </c>
      <c r="D30" s="15" t="n">
        <v>0.16</v>
      </c>
      <c r="E30" s="14" t="n">
        <v>600</v>
      </c>
      <c r="F30" s="17" t="n">
        <v>-0.07000000000000001</v>
      </c>
      <c r="G30" s="14" t="n">
        <v>48</v>
      </c>
      <c r="H30" s="16" t="n">
        <v>-0.13</v>
      </c>
      <c r="I30" s="14" t="n">
        <v>7344</v>
      </c>
      <c r="J30" s="17" t="n">
        <v>-0.37</v>
      </c>
      <c r="K30" s="14" t="inlineStr">
        <is>
          <t>שוק מוכרים</t>
        </is>
      </c>
    </row>
    <row r="31">
      <c r="A31" s="13" t="inlineStr">
        <is>
          <t>קריית מוצקין</t>
        </is>
      </c>
      <c r="B31" s="13" t="inlineStr">
        <is>
          <t>1020</t>
        </is>
      </c>
      <c r="C31" s="14" t="n">
        <v>563</v>
      </c>
      <c r="D31" s="15" t="n">
        <v>0.6899999999999999</v>
      </c>
      <c r="E31" s="14" t="n">
        <v>277</v>
      </c>
      <c r="F31" s="15" t="n">
        <v>0</v>
      </c>
      <c r="G31" s="14" t="n">
        <v>50</v>
      </c>
      <c r="H31" s="16" t="n">
        <v>0</v>
      </c>
      <c r="I31" s="14" t="n">
        <v>7105</v>
      </c>
      <c r="J31" s="17" t="n">
        <v>-0.05</v>
      </c>
      <c r="K31" s="14" t="inlineStr">
        <is>
          <t>שוק מוכרים</t>
        </is>
      </c>
    </row>
    <row r="32">
      <c r="A32" s="13" t="inlineStr">
        <is>
          <t>לוד</t>
        </is>
      </c>
      <c r="B32" s="13" t="inlineStr">
        <is>
          <t>7000</t>
        </is>
      </c>
      <c r="C32" s="14" t="n">
        <v>337</v>
      </c>
      <c r="D32" s="15" t="n">
        <v>0.5600000000000001</v>
      </c>
      <c r="E32" s="14" t="n">
        <v>685</v>
      </c>
      <c r="F32" s="15" t="n">
        <v>0.1</v>
      </c>
      <c r="G32" s="14" t="n">
        <v>44</v>
      </c>
      <c r="H32" s="16" t="n">
        <v>-0.02</v>
      </c>
      <c r="I32" s="14" t="n">
        <v>6665</v>
      </c>
      <c r="J32" s="17" t="n">
        <v>-0.12</v>
      </c>
      <c r="K32" s="14" t="inlineStr">
        <is>
          <t>שוק מוכרים</t>
        </is>
      </c>
    </row>
    <row r="33">
      <c r="A33" s="13" t="inlineStr">
        <is>
          <t>כרמיאל</t>
        </is>
      </c>
      <c r="B33" s="13" t="inlineStr">
        <is>
          <t>1139</t>
        </is>
      </c>
      <c r="C33" s="14" t="n">
        <v>62</v>
      </c>
      <c r="D33" s="15" t="n">
        <v>0.17</v>
      </c>
      <c r="E33" s="14" t="n">
        <v>593</v>
      </c>
      <c r="F33" s="15" t="n">
        <v>0.05</v>
      </c>
      <c r="G33" s="14" t="n">
        <v>49</v>
      </c>
      <c r="H33" s="16" t="n">
        <v>-0.02</v>
      </c>
      <c r="I33" s="14" t="n">
        <v>6316</v>
      </c>
      <c r="J33" s="17" t="n">
        <v>-0.15</v>
      </c>
      <c r="K33" s="14" t="inlineStr">
        <is>
          <t>שוק מוכרים</t>
        </is>
      </c>
    </row>
    <row r="34">
      <c r="A34" s="13" t="inlineStr">
        <is>
          <t>גבעתיים</t>
        </is>
      </c>
      <c r="B34" s="13" t="inlineStr">
        <is>
          <t>6300</t>
        </is>
      </c>
      <c r="C34" s="14" t="n">
        <v>78</v>
      </c>
      <c r="D34" s="15" t="n">
        <v>0.11</v>
      </c>
      <c r="E34" s="14" t="n">
        <v>524</v>
      </c>
      <c r="F34" s="15" t="n">
        <v>0.05</v>
      </c>
      <c r="G34" s="14" t="n">
        <v>38</v>
      </c>
      <c r="H34" s="16" t="n">
        <v>0</v>
      </c>
      <c r="I34" s="14" t="n">
        <v>6147</v>
      </c>
      <c r="J34" s="17" t="n">
        <v>-0.25</v>
      </c>
      <c r="K34" s="14" t="inlineStr">
        <is>
          <t>שוק מוכרים</t>
        </is>
      </c>
    </row>
    <row r="35">
      <c r="A35" s="13" t="inlineStr">
        <is>
          <t>נוף הגליל</t>
        </is>
      </c>
      <c r="B35" s="13" t="inlineStr">
        <is>
          <t>2300</t>
        </is>
      </c>
      <c r="C35" s="14" t="n">
        <v>50</v>
      </c>
      <c r="D35" s="17" t="n">
        <v>-0.22</v>
      </c>
      <c r="E35" s="14" t="n">
        <v>149</v>
      </c>
      <c r="F35" s="17" t="n">
        <v>-0.01</v>
      </c>
      <c r="G35" s="14" t="n">
        <v>54</v>
      </c>
      <c r="H35" s="16" t="n">
        <v>0.17</v>
      </c>
      <c r="I35" s="14" t="n">
        <v>5989</v>
      </c>
      <c r="J35" s="17" t="n">
        <v>-0.25</v>
      </c>
      <c r="K35" s="14" t="inlineStr">
        <is>
          <t>שוק מוכרים</t>
        </is>
      </c>
    </row>
    <row r="36">
      <c r="A36" s="13" t="inlineStr">
        <is>
          <t>ראש העין</t>
        </is>
      </c>
      <c r="B36" s="13" t="inlineStr">
        <is>
          <t>8900</t>
        </is>
      </c>
      <c r="C36" s="14" t="n">
        <v>172</v>
      </c>
      <c r="D36" s="15" t="n">
        <v>0.02</v>
      </c>
      <c r="E36" s="14" t="n">
        <v>386</v>
      </c>
      <c r="F36" s="15" t="n">
        <v>0.23</v>
      </c>
      <c r="G36" s="14" t="n">
        <v>48</v>
      </c>
      <c r="H36" s="16" t="n">
        <v>0.02</v>
      </c>
      <c r="I36" s="14" t="n">
        <v>5940</v>
      </c>
      <c r="J36" s="17" t="n">
        <v>-0.14</v>
      </c>
      <c r="K36" s="14" t="inlineStr">
        <is>
          <t>שוק מוכרים</t>
        </is>
      </c>
    </row>
    <row r="37">
      <c r="A37" s="13" t="inlineStr">
        <is>
          <t>הוד השרון</t>
        </is>
      </c>
      <c r="B37" s="13" t="inlineStr">
        <is>
          <t>9200</t>
        </is>
      </c>
      <c r="C37" s="14" t="n">
        <v>190</v>
      </c>
      <c r="D37" s="15" t="n">
        <v>0.32</v>
      </c>
      <c r="E37" s="14" t="n">
        <v>381</v>
      </c>
      <c r="F37" s="15" t="n">
        <v>0.09</v>
      </c>
      <c r="G37" s="14" t="n">
        <v>43</v>
      </c>
      <c r="H37" s="16" t="n">
        <v>-0.04</v>
      </c>
      <c r="I37" s="14" t="n">
        <v>5832</v>
      </c>
      <c r="J37" s="17" t="n">
        <v>-0.2</v>
      </c>
      <c r="K37" s="14" t="inlineStr">
        <is>
          <t>שוק מוכרים</t>
        </is>
      </c>
    </row>
    <row r="38">
      <c r="A38" s="13" t="inlineStr">
        <is>
          <t>אור יהודה</t>
        </is>
      </c>
      <c r="B38" s="13" t="inlineStr">
        <is>
          <t>2400</t>
        </is>
      </c>
      <c r="C38" s="14" t="n">
        <v>119</v>
      </c>
      <c r="D38" s="15" t="n">
        <v>0.01</v>
      </c>
      <c r="E38" s="14" t="n">
        <v>413</v>
      </c>
      <c r="F38" s="15" t="n">
        <v>0.19</v>
      </c>
      <c r="G38" s="14" t="n">
        <v>39</v>
      </c>
      <c r="H38" s="16" t="n">
        <v>-0.09</v>
      </c>
      <c r="I38" s="14" t="n">
        <v>5049</v>
      </c>
      <c r="J38" s="17" t="n">
        <v>-0.29</v>
      </c>
      <c r="K38" s="14" t="inlineStr">
        <is>
          <t>שוק מוכרים</t>
        </is>
      </c>
    </row>
    <row r="39">
      <c r="A39" s="13" t="inlineStr">
        <is>
          <t>רמלה</t>
        </is>
      </c>
      <c r="B39" s="13" t="inlineStr">
        <is>
          <t>8500</t>
        </is>
      </c>
      <c r="C39" s="14" t="n">
        <v>172</v>
      </c>
      <c r="D39" s="15" t="n">
        <v>0.71</v>
      </c>
      <c r="E39" s="14" t="n">
        <v>555</v>
      </c>
      <c r="F39" s="17" t="n">
        <v>-0.02</v>
      </c>
      <c r="G39" s="14" t="n">
        <v>42</v>
      </c>
      <c r="H39" s="16" t="n">
        <v>-0.11</v>
      </c>
      <c r="I39" s="14" t="n">
        <v>4954</v>
      </c>
      <c r="J39" s="17" t="n">
        <v>-0.16</v>
      </c>
      <c r="K39" s="14" t="inlineStr">
        <is>
          <t>שוק מוכרים</t>
        </is>
      </c>
    </row>
    <row r="40">
      <c r="A40" s="13" t="inlineStr">
        <is>
          <t>בנימינה-גבעת עדה</t>
        </is>
      </c>
      <c r="B40" s="13" t="inlineStr">
        <is>
          <t>9800</t>
        </is>
      </c>
      <c r="C40" s="14" t="n">
        <v>64</v>
      </c>
      <c r="D40" s="15" t="n">
        <v>0.5600000000000001</v>
      </c>
      <c r="E40" s="14" t="n">
        <v>86</v>
      </c>
      <c r="F40" s="17" t="n">
        <v>-0.15</v>
      </c>
      <c r="G40" s="14" t="n">
        <v>48</v>
      </c>
      <c r="H40" s="16" t="n">
        <v>-0.02</v>
      </c>
      <c r="I40" s="14" t="n">
        <v>4086</v>
      </c>
      <c r="J40" s="17" t="n">
        <v>-0.12</v>
      </c>
      <c r="K40" s="14" t="inlineStr">
        <is>
          <t>שוק מוכרים</t>
        </is>
      </c>
    </row>
    <row r="41">
      <c r="A41" s="13" t="inlineStr">
        <is>
          <t>ביתר עילית</t>
        </is>
      </c>
      <c r="B41" s="13" t="inlineStr">
        <is>
          <t>3780</t>
        </is>
      </c>
      <c r="C41" s="14" t="n">
        <v>261</v>
      </c>
      <c r="D41" s="15" t="n">
        <v>1.28</v>
      </c>
      <c r="E41" s="14" t="n">
        <v>366</v>
      </c>
      <c r="F41" s="15" t="n">
        <v>0</v>
      </c>
      <c r="G41" s="14" t="n">
        <v>41</v>
      </c>
      <c r="H41" s="16" t="n">
        <v>-0.05</v>
      </c>
      <c r="I41" s="14" t="n">
        <v>3773</v>
      </c>
      <c r="J41" s="17" t="n">
        <v>-0.05</v>
      </c>
      <c r="K41" s="14" t="inlineStr">
        <is>
          <t>שוק מוכרים</t>
        </is>
      </c>
    </row>
    <row r="42">
      <c r="A42" s="13" t="inlineStr">
        <is>
          <t>מודיעין עילית</t>
        </is>
      </c>
      <c r="B42" s="13" t="inlineStr">
        <is>
          <t>1034</t>
        </is>
      </c>
      <c r="C42" s="14" t="n">
        <v>77</v>
      </c>
      <c r="D42" s="15" t="n">
        <v>0.06</v>
      </c>
      <c r="E42" s="14" t="n">
        <v>497</v>
      </c>
      <c r="F42" s="15" t="n">
        <v>0.06</v>
      </c>
      <c r="G42" s="14" t="n">
        <v>37</v>
      </c>
      <c r="H42" s="16" t="n">
        <v>-0.1</v>
      </c>
      <c r="I42" s="14" t="n">
        <v>3753</v>
      </c>
      <c r="J42" s="17" t="n">
        <v>-0.16</v>
      </c>
      <c r="K42" s="14" t="inlineStr">
        <is>
          <t>שוק מוכרים</t>
        </is>
      </c>
    </row>
    <row r="43">
      <c r="A43" s="13" t="inlineStr">
        <is>
          <t>עכו</t>
        </is>
      </c>
      <c r="B43" s="13" t="inlineStr">
        <is>
          <t>4100</t>
        </is>
      </c>
      <c r="C43" s="14" t="n">
        <v>46</v>
      </c>
      <c r="D43" s="15" t="n">
        <v>0.02</v>
      </c>
      <c r="E43" s="14" t="n">
        <v>76</v>
      </c>
      <c r="F43" s="17" t="n">
        <v>-0.07000000000000001</v>
      </c>
      <c r="G43" s="14" t="n">
        <v>48</v>
      </c>
      <c r="H43" s="16" t="n">
        <v>0</v>
      </c>
      <c r="I43" s="14" t="n">
        <v>3265</v>
      </c>
      <c r="J43" s="17" t="n">
        <v>-0.17</v>
      </c>
      <c r="K43" s="14" t="inlineStr">
        <is>
          <t>שוק מוכרים</t>
        </is>
      </c>
    </row>
    <row r="44">
      <c r="A44" s="13" t="inlineStr">
        <is>
          <t>רמת ישי</t>
        </is>
      </c>
      <c r="B44" s="13" t="inlineStr">
        <is>
          <t>0122</t>
        </is>
      </c>
      <c r="C44" s="14" t="n">
        <v>25</v>
      </c>
      <c r="D44" s="17" t="n">
        <v>-0.42</v>
      </c>
      <c r="E44" s="14" t="n">
        <v>127</v>
      </c>
      <c r="F44" s="15" t="n">
        <v>0.23</v>
      </c>
      <c r="G44" s="14" t="n">
        <v>59</v>
      </c>
      <c r="H44" s="16" t="n">
        <v>0.05</v>
      </c>
      <c r="I44" s="14" t="n">
        <v>2806</v>
      </c>
      <c r="J44" s="17" t="n">
        <v>-0.06</v>
      </c>
      <c r="K44" s="14" t="inlineStr">
        <is>
          <t>שוק מוכרים</t>
        </is>
      </c>
    </row>
    <row r="45">
      <c r="A45" s="13" t="inlineStr">
        <is>
          <t>צור הדסה</t>
        </is>
      </c>
      <c r="B45" s="13" t="inlineStr">
        <is>
          <t>3797</t>
        </is>
      </c>
      <c r="C45" s="14" t="n">
        <v>49</v>
      </c>
      <c r="D45" s="15" t="n">
        <v>0.32</v>
      </c>
      <c r="E45" s="14" t="n">
        <v>96</v>
      </c>
      <c r="F45" s="15" t="n">
        <v>0.3</v>
      </c>
      <c r="G45" s="14" t="n">
        <v>50</v>
      </c>
      <c r="H45" s="16" t="n">
        <v>-0.04</v>
      </c>
      <c r="I45" s="14" t="n">
        <v>2592</v>
      </c>
      <c r="J45" s="15" t="n">
        <v>0.5</v>
      </c>
      <c r="K45" s="14" t="inlineStr">
        <is>
          <t>שוק מוכרים</t>
        </is>
      </c>
    </row>
    <row r="46">
      <c r="A46" s="13" t="inlineStr">
        <is>
          <t>אלעד</t>
        </is>
      </c>
      <c r="B46" s="13" t="inlineStr">
        <is>
          <t>1309</t>
        </is>
      </c>
      <c r="C46" s="14" t="n">
        <v>13</v>
      </c>
      <c r="D46" s="15" t="n">
        <v>0.18</v>
      </c>
      <c r="E46" s="14" t="n">
        <v>201</v>
      </c>
      <c r="F46" s="15" t="n">
        <v>0.26</v>
      </c>
      <c r="G46" s="14" t="n">
        <v>41</v>
      </c>
      <c r="H46" s="16" t="n">
        <v>-0.18</v>
      </c>
      <c r="I46" s="14" t="n">
        <v>2139</v>
      </c>
      <c r="J46" s="15" t="n">
        <v>0.01</v>
      </c>
      <c r="K46" s="14" t="inlineStr">
        <is>
          <t>שוק מוכרים</t>
        </is>
      </c>
    </row>
    <row r="47">
      <c r="A47" s="13" t="inlineStr">
        <is>
          <t>פרדס חנה-כרכור</t>
        </is>
      </c>
      <c r="B47" s="13" t="inlineStr">
        <is>
          <t>0259</t>
        </is>
      </c>
      <c r="C47" s="14" t="n">
        <v>6</v>
      </c>
      <c r="D47" s="15" t="n">
        <v>0.13</v>
      </c>
      <c r="E47" s="14" t="n">
        <v>8</v>
      </c>
      <c r="F47" s="15" t="n">
        <v>0.5</v>
      </c>
      <c r="G47" s="14" t="n">
        <v>62</v>
      </c>
      <c r="H47" s="14" t="n"/>
      <c r="I47" s="14" t="n">
        <v>1291</v>
      </c>
      <c r="J47" s="14" t="n"/>
      <c r="K47" s="14" t="inlineStr">
        <is>
          <t>שוק מוכרים</t>
        </is>
      </c>
    </row>
  </sheetData>
  <autoFilter ref="A1:K4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2" t="inlineStr">
        <is>
          <t>עיר</t>
        </is>
      </c>
      <c r="B1" s="12" t="inlineStr">
        <is>
          <t>2016</t>
        </is>
      </c>
      <c r="C1" s="12" t="inlineStr">
        <is>
          <t>2017</t>
        </is>
      </c>
      <c r="D1" s="12" t="inlineStr">
        <is>
          <t>2018</t>
        </is>
      </c>
      <c r="E1" s="12" t="inlineStr">
        <is>
          <t>2019</t>
        </is>
      </c>
      <c r="F1" s="12" t="inlineStr">
        <is>
          <t>2020</t>
        </is>
      </c>
      <c r="G1" s="12" t="inlineStr">
        <is>
          <t>2021</t>
        </is>
      </c>
      <c r="H1" s="12" t="inlineStr">
        <is>
          <t>2022</t>
        </is>
      </c>
      <c r="I1" s="12" t="inlineStr">
        <is>
          <t>2023</t>
        </is>
      </c>
      <c r="J1" s="12" t="inlineStr">
        <is>
          <t>2024</t>
        </is>
      </c>
      <c r="K1" s="12" t="inlineStr">
        <is>
          <t>2025</t>
        </is>
      </c>
      <c r="L1" s="12" t="inlineStr">
        <is>
          <t>2026</t>
        </is>
      </c>
      <c r="M1" s="12" t="inlineStr">
        <is>
          <t>גידול %</t>
        </is>
      </c>
    </row>
    <row r="2">
      <c r="A2" s="13" t="inlineStr">
        <is>
          <t>אבו גוש</t>
        </is>
      </c>
      <c r="B2" s="18" t="n">
        <v>7583</v>
      </c>
      <c r="C2" s="18" t="n">
        <v>7762</v>
      </c>
      <c r="D2" s="18" t="n">
        <v>7941</v>
      </c>
      <c r="E2" s="18" t="n">
        <v>8120</v>
      </c>
      <c r="F2" s="18" t="n">
        <v>8299</v>
      </c>
      <c r="G2" s="18" t="n">
        <v>8478</v>
      </c>
      <c r="H2" s="18" t="n">
        <v>8657</v>
      </c>
      <c r="I2" s="18" t="n">
        <v>8752</v>
      </c>
      <c r="J2" s="18" t="n">
        <v>8847</v>
      </c>
      <c r="K2" s="18" t="n">
        <v>8902</v>
      </c>
      <c r="L2" s="18" t="n">
        <v>8956</v>
      </c>
      <c r="M2" s="16">
        <f>IF(B2&gt;0,(L2-B2)/B2,"")</f>
        <v/>
      </c>
    </row>
    <row r="3">
      <c r="A3" s="13" t="inlineStr">
        <is>
          <t>אבו סנאן</t>
        </is>
      </c>
      <c r="B3" s="18" t="n">
        <v>13131</v>
      </c>
      <c r="C3" s="18" t="n">
        <v>13258</v>
      </c>
      <c r="D3" s="18" t="n">
        <v>13386</v>
      </c>
      <c r="E3" s="18" t="n">
        <v>13513</v>
      </c>
      <c r="F3" s="18" t="n">
        <v>13640</v>
      </c>
      <c r="G3" s="18" t="n">
        <v>13768</v>
      </c>
      <c r="H3" s="18" t="n">
        <v>13895</v>
      </c>
      <c r="I3" s="18" t="n">
        <v>14219</v>
      </c>
      <c r="J3" s="18" t="n">
        <v>14543</v>
      </c>
      <c r="K3" s="18" t="n">
        <v>14726</v>
      </c>
      <c r="L3" s="18" t="n">
        <v>14908</v>
      </c>
      <c r="M3" s="16">
        <f>IF(B3&gt;0,(L3-B3)/B3,"")</f>
        <v/>
      </c>
    </row>
    <row r="4">
      <c r="A4" s="13" t="inlineStr">
        <is>
          <t>אבן יהודה</t>
        </is>
      </c>
      <c r="B4" s="18" t="n">
        <v>14087</v>
      </c>
      <c r="C4" s="18" t="n">
        <v>14237</v>
      </c>
      <c r="D4" s="18" t="n">
        <v>14388</v>
      </c>
      <c r="E4" s="18" t="n">
        <v>14538</v>
      </c>
      <c r="F4" s="18" t="n">
        <v>14688</v>
      </c>
      <c r="G4" s="18" t="n">
        <v>14839</v>
      </c>
      <c r="H4" s="18" t="n">
        <v>14989</v>
      </c>
      <c r="I4" s="18" t="n">
        <v>15180</v>
      </c>
      <c r="J4" s="18" t="n">
        <v>15370</v>
      </c>
      <c r="K4" s="18" t="n">
        <v>15747</v>
      </c>
      <c r="L4" s="18" t="n">
        <v>16124</v>
      </c>
      <c r="M4" s="16">
        <f>IF(B4&gt;0,(L4-B4)/B4,"")</f>
        <v/>
      </c>
    </row>
    <row r="5">
      <c r="A5" s="13" t="inlineStr">
        <is>
          <t>אום אל-פחם</t>
        </is>
      </c>
      <c r="B5" s="18" t="n">
        <v>54560</v>
      </c>
      <c r="C5" s="18" t="n">
        <v>55060</v>
      </c>
      <c r="D5" s="18" t="n">
        <v>55560</v>
      </c>
      <c r="E5" s="18" t="n">
        <v>56060</v>
      </c>
      <c r="F5" s="18" t="n">
        <v>56560</v>
      </c>
      <c r="G5" s="18" t="n">
        <v>57060</v>
      </c>
      <c r="H5" s="18" t="n">
        <v>57560</v>
      </c>
      <c r="I5" s="18" t="n">
        <v>58885</v>
      </c>
      <c r="J5" s="18" t="n">
        <v>60210</v>
      </c>
      <c r="K5" s="18" t="n">
        <v>61223</v>
      </c>
      <c r="L5" s="18" t="n">
        <v>62236</v>
      </c>
      <c r="M5" s="16">
        <f>IF(B5&gt;0,(L5-B5)/B5,"")</f>
        <v/>
      </c>
    </row>
    <row r="6">
      <c r="A6" s="13" t="inlineStr">
        <is>
          <t>אופקים</t>
        </is>
      </c>
      <c r="B6" s="18" t="n">
        <v>29886</v>
      </c>
      <c r="C6" s="18" t="n">
        <v>30709</v>
      </c>
      <c r="D6" s="18" t="n">
        <v>31532</v>
      </c>
      <c r="E6" s="18" t="n">
        <v>32354</v>
      </c>
      <c r="F6" s="18" t="n">
        <v>33176</v>
      </c>
      <c r="G6" s="18" t="n">
        <v>33999</v>
      </c>
      <c r="H6" s="18" t="n">
        <v>35355</v>
      </c>
      <c r="I6" s="18" t="n">
        <v>37624</v>
      </c>
      <c r="J6" s="18" t="n">
        <v>39894</v>
      </c>
      <c r="K6" s="18" t="n">
        <v>41794</v>
      </c>
      <c r="L6" s="18" t="n">
        <v>43694</v>
      </c>
      <c r="M6" s="16">
        <f>IF(B6&gt;0,(L6-B6)/B6,"")</f>
        <v/>
      </c>
    </row>
    <row r="7">
      <c r="A7" s="13" t="inlineStr">
        <is>
          <t>אור יהודה</t>
        </is>
      </c>
      <c r="B7" s="18" t="n">
        <v>38650</v>
      </c>
      <c r="C7" s="18" t="n">
        <v>38283</v>
      </c>
      <c r="D7" s="18" t="n">
        <v>37916</v>
      </c>
      <c r="E7" s="18" t="n">
        <v>37549</v>
      </c>
      <c r="F7" s="18" t="n">
        <v>37182</v>
      </c>
      <c r="G7" s="18" t="n">
        <v>36815</v>
      </c>
      <c r="H7" s="18" t="n">
        <v>36850</v>
      </c>
      <c r="I7" s="18" t="n">
        <v>38990</v>
      </c>
      <c r="J7" s="18" t="n">
        <v>41130</v>
      </c>
      <c r="K7" s="18" t="n">
        <v>41774</v>
      </c>
      <c r="L7" s="18" t="n">
        <v>42418</v>
      </c>
      <c r="M7" s="16">
        <f>IF(B7&gt;0,(L7-B7)/B7,"")</f>
        <v/>
      </c>
    </row>
    <row r="8">
      <c r="A8" s="13" t="inlineStr">
        <is>
          <t>אור עקיבא</t>
        </is>
      </c>
      <c r="B8" s="18" t="n">
        <v>20213</v>
      </c>
      <c r="C8" s="18" t="n">
        <v>20540</v>
      </c>
      <c r="D8" s="18" t="n">
        <v>20866</v>
      </c>
      <c r="E8" s="18" t="n">
        <v>21193</v>
      </c>
      <c r="F8" s="18" t="n">
        <v>21520</v>
      </c>
      <c r="G8" s="18" t="n">
        <v>21846</v>
      </c>
      <c r="H8" s="18" t="n">
        <v>22173</v>
      </c>
      <c r="I8" s="18" t="n">
        <v>24048</v>
      </c>
      <c r="J8" s="18" t="n">
        <v>25922</v>
      </c>
      <c r="K8" s="18" t="n">
        <v>26986</v>
      </c>
      <c r="L8" s="18" t="n">
        <v>28049</v>
      </c>
      <c r="M8" s="16">
        <f>IF(B8&gt;0,(L8-B8)/B8,"")</f>
        <v/>
      </c>
    </row>
    <row r="9">
      <c r="A9" s="13" t="inlineStr">
        <is>
          <t>אורנית</t>
        </is>
      </c>
      <c r="B9" s="18" t="n">
        <v>9063</v>
      </c>
      <c r="C9" s="18" t="n">
        <v>9216</v>
      </c>
      <c r="D9" s="18" t="n">
        <v>9368</v>
      </c>
      <c r="E9" s="18" t="n">
        <v>9521</v>
      </c>
      <c r="F9" s="18" t="n">
        <v>9674</v>
      </c>
      <c r="G9" s="18" t="n">
        <v>9826</v>
      </c>
      <c r="H9" s="18" t="n">
        <v>9979</v>
      </c>
      <c r="I9" s="18" t="n">
        <v>10030</v>
      </c>
      <c r="J9" s="18" t="n">
        <v>10080</v>
      </c>
      <c r="K9" s="18" t="n">
        <v>10131</v>
      </c>
      <c r="L9" s="18" t="n">
        <v>10182</v>
      </c>
      <c r="M9" s="16">
        <f>IF(B9&gt;0,(L9-B9)/B9,"")</f>
        <v/>
      </c>
    </row>
    <row r="10">
      <c r="A10" s="13" t="inlineStr">
        <is>
          <t>אזור</t>
        </is>
      </c>
      <c r="B10" s="18" t="n">
        <v>13513</v>
      </c>
      <c r="C10" s="18" t="n">
        <v>13459</v>
      </c>
      <c r="D10" s="18" t="n">
        <v>13406</v>
      </c>
      <c r="E10" s="18" t="n">
        <v>13352</v>
      </c>
      <c r="F10" s="18" t="n">
        <v>13298</v>
      </c>
      <c r="G10" s="18" t="n">
        <v>13245</v>
      </c>
      <c r="H10" s="18" t="n">
        <v>13191</v>
      </c>
      <c r="I10" s="18" t="n">
        <v>13129</v>
      </c>
      <c r="J10" s="18" t="n">
        <v>13067</v>
      </c>
      <c r="K10" s="18" t="n">
        <v>13422</v>
      </c>
      <c r="L10" s="18" t="n">
        <v>13776</v>
      </c>
      <c r="M10" s="16">
        <f>IF(B10&gt;0,(L10-B10)/B10,"")</f>
        <v/>
      </c>
    </row>
    <row r="11">
      <c r="A11" s="13" t="inlineStr">
        <is>
          <t>אילת</t>
        </is>
      </c>
      <c r="B11" s="18" t="n">
        <v>89060</v>
      </c>
      <c r="C11" s="18" t="n">
        <v>81799</v>
      </c>
      <c r="D11" s="18" t="n">
        <v>74538</v>
      </c>
      <c r="E11" s="18" t="n">
        <v>67276</v>
      </c>
      <c r="F11" s="18" t="n">
        <v>60014</v>
      </c>
      <c r="G11" s="18" t="n">
        <v>52753</v>
      </c>
      <c r="H11" s="18" t="n">
        <v>55213</v>
      </c>
      <c r="I11" s="18" t="n">
        <v>55608</v>
      </c>
      <c r="J11" s="18" t="n">
        <v>56004</v>
      </c>
      <c r="K11" s="18" t="n">
        <v>63108</v>
      </c>
      <c r="L11" s="18" t="n">
        <v>70211</v>
      </c>
      <c r="M11" s="16">
        <f>IF(B11&gt;0,(L11-B11)/B11,"")</f>
        <v/>
      </c>
    </row>
    <row r="12">
      <c r="A12" s="13" t="inlineStr">
        <is>
          <t>אכסאל</t>
        </is>
      </c>
      <c r="B12" s="18" t="n">
        <v>15020</v>
      </c>
      <c r="C12" s="18" t="n">
        <v>14958</v>
      </c>
      <c r="D12" s="18" t="n">
        <v>14895</v>
      </c>
      <c r="E12" s="18" t="n">
        <v>14833</v>
      </c>
      <c r="F12" s="18" t="n">
        <v>14771</v>
      </c>
      <c r="G12" s="18" t="n">
        <v>14708</v>
      </c>
      <c r="H12" s="18" t="n">
        <v>14646</v>
      </c>
      <c r="I12" s="18" t="n">
        <v>14890</v>
      </c>
      <c r="J12" s="18" t="n">
        <v>15134</v>
      </c>
      <c r="K12" s="18" t="n">
        <v>15672</v>
      </c>
      <c r="L12" s="18" t="n">
        <v>16209</v>
      </c>
      <c r="M12" s="16">
        <f>IF(B12&gt;0,(L12-B12)/B12,"")</f>
        <v/>
      </c>
    </row>
    <row r="13">
      <c r="A13" s="13" t="inlineStr">
        <is>
          <t>אלעד</t>
        </is>
      </c>
      <c r="B13" s="18" t="n">
        <v>44936</v>
      </c>
      <c r="C13" s="18" t="n">
        <v>45867</v>
      </c>
      <c r="D13" s="18" t="n">
        <v>46798</v>
      </c>
      <c r="E13" s="18" t="n">
        <v>47730</v>
      </c>
      <c r="F13" s="18" t="n">
        <v>48662</v>
      </c>
      <c r="G13" s="18" t="n">
        <v>49593</v>
      </c>
      <c r="H13" s="18" t="n">
        <v>48825</v>
      </c>
      <c r="I13" s="18" t="n">
        <v>49835</v>
      </c>
      <c r="J13" s="18" t="n">
        <v>50845</v>
      </c>
      <c r="K13" s="18" t="n">
        <v>51070</v>
      </c>
      <c r="L13" s="18" t="n">
        <v>51295</v>
      </c>
      <c r="M13" s="16">
        <f>IF(B13&gt;0,(L13-B13)/B13,"")</f>
        <v/>
      </c>
    </row>
    <row r="14">
      <c r="A14" s="13" t="inlineStr">
        <is>
          <t>אלפי מנשה</t>
        </is>
      </c>
      <c r="B14" s="18" t="n">
        <v>8832</v>
      </c>
      <c r="C14" s="18" t="n">
        <v>8705</v>
      </c>
      <c r="D14" s="18" t="n">
        <v>8577</v>
      </c>
      <c r="E14" s="18" t="n">
        <v>8450</v>
      </c>
      <c r="F14" s="18" t="n">
        <v>8323</v>
      </c>
      <c r="G14" s="18" t="n">
        <v>8195</v>
      </c>
      <c r="H14" s="18" t="n">
        <v>8068</v>
      </c>
      <c r="I14" s="18" t="n">
        <v>8209</v>
      </c>
      <c r="J14" s="18" t="n">
        <v>8350</v>
      </c>
      <c r="K14" s="18" t="n">
        <v>8492</v>
      </c>
      <c r="L14" s="18" t="n">
        <v>8633</v>
      </c>
      <c r="M14" s="16">
        <f>IF(B14&gt;0,(L14-B14)/B14,"")</f>
        <v/>
      </c>
    </row>
    <row r="15">
      <c r="A15" s="13" t="inlineStr">
        <is>
          <t>אעבלין</t>
        </is>
      </c>
      <c r="B15" s="18" t="n">
        <v>13167</v>
      </c>
      <c r="C15" s="18" t="n">
        <v>13199</v>
      </c>
      <c r="D15" s="18" t="n">
        <v>13230</v>
      </c>
      <c r="E15" s="18" t="n">
        <v>13262</v>
      </c>
      <c r="F15" s="18" t="n">
        <v>13294</v>
      </c>
      <c r="G15" s="18" t="n">
        <v>13325</v>
      </c>
      <c r="H15" s="18" t="n">
        <v>13357</v>
      </c>
      <c r="I15" s="18" t="n">
        <v>13496</v>
      </c>
      <c r="J15" s="18" t="n">
        <v>13634</v>
      </c>
      <c r="K15" s="18" t="n">
        <v>13946</v>
      </c>
      <c r="L15" s="18" t="n">
        <v>14258</v>
      </c>
      <c r="M15" s="16">
        <f>IF(B15&gt;0,(L15-B15)/B15,"")</f>
        <v/>
      </c>
    </row>
    <row r="16">
      <c r="A16" s="13" t="inlineStr">
        <is>
          <t>אפרת</t>
        </is>
      </c>
      <c r="B16" s="18" t="n">
        <v>11218</v>
      </c>
      <c r="C16" s="18" t="n">
        <v>11362</v>
      </c>
      <c r="D16" s="18" t="n">
        <v>11506</v>
      </c>
      <c r="E16" s="18" t="n">
        <v>11650</v>
      </c>
      <c r="F16" s="18" t="n">
        <v>11794</v>
      </c>
      <c r="G16" s="18" t="n">
        <v>11938</v>
      </c>
      <c r="H16" s="18" t="n">
        <v>12082</v>
      </c>
      <c r="I16" s="18" t="n">
        <v>12415</v>
      </c>
      <c r="J16" s="18" t="n">
        <v>12748</v>
      </c>
      <c r="K16" s="18" t="n">
        <v>13082</v>
      </c>
      <c r="L16" s="18" t="n">
        <v>13415</v>
      </c>
      <c r="M16" s="16">
        <f>IF(B16&gt;0,(L16-B16)/B16,"")</f>
        <v/>
      </c>
    </row>
    <row r="17">
      <c r="A17" s="13" t="inlineStr">
        <is>
          <t>אריאל</t>
        </is>
      </c>
      <c r="B17" s="18" t="n">
        <v>19498</v>
      </c>
      <c r="C17" s="18" t="n">
        <v>19820</v>
      </c>
      <c r="D17" s="18" t="n">
        <v>20141</v>
      </c>
      <c r="E17" s="18" t="n">
        <v>20463</v>
      </c>
      <c r="F17" s="18" t="n">
        <v>20785</v>
      </c>
      <c r="G17" s="18" t="n">
        <v>21106</v>
      </c>
      <c r="H17" s="18" t="n">
        <v>21428</v>
      </c>
      <c r="I17" s="18" t="n">
        <v>21673</v>
      </c>
      <c r="J17" s="18" t="n">
        <v>21918</v>
      </c>
      <c r="K17" s="18" t="n">
        <v>22162</v>
      </c>
      <c r="L17" s="18" t="n">
        <v>22407</v>
      </c>
      <c r="M17" s="16">
        <f>IF(B17&gt;0,(L17-B17)/B17,"")</f>
        <v/>
      </c>
    </row>
    <row r="18">
      <c r="A18" s="13" t="inlineStr">
        <is>
          <t>אשדוד</t>
        </is>
      </c>
      <c r="B18" s="18" t="n">
        <v>298055</v>
      </c>
      <c r="C18" s="18" t="n">
        <v>283144</v>
      </c>
      <c r="D18" s="18" t="n">
        <v>268233</v>
      </c>
      <c r="E18" s="18" t="n">
        <v>253322</v>
      </c>
      <c r="F18" s="18" t="n">
        <v>238411</v>
      </c>
      <c r="G18" s="18" t="n">
        <v>223500</v>
      </c>
      <c r="H18" s="18" t="n">
        <v>227865</v>
      </c>
      <c r="I18" s="18" t="n">
        <v>228214</v>
      </c>
      <c r="J18" s="18" t="n">
        <v>228562</v>
      </c>
      <c r="K18" s="18" t="n">
        <v>244893</v>
      </c>
      <c r="L18" s="18" t="n">
        <v>261224</v>
      </c>
      <c r="M18" s="16">
        <f>IF(B18&gt;0,(L18-B18)/B18,"")</f>
        <v/>
      </c>
    </row>
    <row r="19">
      <c r="A19" s="13" t="inlineStr">
        <is>
          <t>אשקלון</t>
        </is>
      </c>
      <c r="B19" s="18" t="n">
        <v>163728</v>
      </c>
      <c r="C19" s="18" t="n">
        <v>160814</v>
      </c>
      <c r="D19" s="18" t="n">
        <v>157900</v>
      </c>
      <c r="E19" s="18" t="n">
        <v>154987</v>
      </c>
      <c r="F19" s="18" t="n">
        <v>152074</v>
      </c>
      <c r="G19" s="18" t="n">
        <v>149160</v>
      </c>
      <c r="H19" s="18" t="n">
        <v>152370</v>
      </c>
      <c r="I19" s="18" t="n">
        <v>159618</v>
      </c>
      <c r="J19" s="18" t="n">
        <v>166865</v>
      </c>
      <c r="K19" s="18" t="n">
        <v>176310</v>
      </c>
      <c r="L19" s="18" t="n">
        <v>185756</v>
      </c>
      <c r="M19" s="16">
        <f>IF(B19&gt;0,(L19-B19)/B19,"")</f>
        <v/>
      </c>
    </row>
    <row r="20">
      <c r="A20" s="13" t="inlineStr">
        <is>
          <t>באקה אל-גרביה</t>
        </is>
      </c>
      <c r="B20" s="18" t="n">
        <v>29634</v>
      </c>
      <c r="C20" s="18" t="n">
        <v>29673</v>
      </c>
      <c r="D20" s="18" t="n">
        <v>29712</v>
      </c>
      <c r="E20" s="18" t="n">
        <v>29751</v>
      </c>
      <c r="F20" s="18" t="n">
        <v>29790</v>
      </c>
      <c r="G20" s="18" t="n">
        <v>29829</v>
      </c>
      <c r="H20" s="18" t="n">
        <v>29868</v>
      </c>
      <c r="I20" s="18" t="n">
        <v>30572</v>
      </c>
      <c r="J20" s="18" t="n">
        <v>31276</v>
      </c>
      <c r="K20" s="18" t="n">
        <v>32056</v>
      </c>
      <c r="L20" s="18" t="n">
        <v>32836</v>
      </c>
      <c r="M20" s="16">
        <f>IF(B20&gt;0,(L20-B20)/B20,"")</f>
        <v/>
      </c>
    </row>
    <row r="21">
      <c r="A21" s="13" t="inlineStr">
        <is>
          <t>באר יעקב</t>
        </is>
      </c>
      <c r="B21" s="18" t="n">
        <v>20120</v>
      </c>
      <c r="C21" s="18" t="n">
        <v>22066</v>
      </c>
      <c r="D21" s="18" t="n">
        <v>24012</v>
      </c>
      <c r="E21" s="18" t="n">
        <v>25959</v>
      </c>
      <c r="F21" s="18" t="n">
        <v>27906</v>
      </c>
      <c r="G21" s="18" t="n">
        <v>29852</v>
      </c>
      <c r="H21" s="18" t="n">
        <v>31439</v>
      </c>
      <c r="I21" s="18" t="n">
        <v>34466</v>
      </c>
      <c r="J21" s="18" t="n">
        <v>37493</v>
      </c>
      <c r="K21" s="18" t="n">
        <v>38088</v>
      </c>
      <c r="L21" s="18" t="n">
        <v>38683</v>
      </c>
      <c r="M21" s="16">
        <f>IF(B21&gt;0,(L21-B21)/B21,"")</f>
        <v/>
      </c>
    </row>
    <row r="22">
      <c r="A22" s="13" t="inlineStr">
        <is>
          <t>באר שבע</t>
        </is>
      </c>
      <c r="B22" s="18" t="n">
        <v>235766</v>
      </c>
      <c r="C22" s="18" t="n">
        <v>230863</v>
      </c>
      <c r="D22" s="18" t="n">
        <v>225960</v>
      </c>
      <c r="E22" s="18" t="n">
        <v>221057</v>
      </c>
      <c r="F22" s="18" t="n">
        <v>216154</v>
      </c>
      <c r="G22" s="18" t="n">
        <v>211251</v>
      </c>
      <c r="H22" s="18" t="n">
        <v>217577</v>
      </c>
      <c r="I22" s="18" t="n">
        <v>220582</v>
      </c>
      <c r="J22" s="18" t="n">
        <v>223587</v>
      </c>
      <c r="K22" s="18" t="n">
        <v>228372</v>
      </c>
      <c r="L22" s="18" t="n">
        <v>233156</v>
      </c>
      <c r="M22" s="16">
        <f>IF(B22&gt;0,(L22-B22)/B22,"")</f>
        <v/>
      </c>
    </row>
    <row r="23">
      <c r="A23" s="13" t="inlineStr">
        <is>
          <t>בועיינה-נוג'ידאת</t>
        </is>
      </c>
      <c r="B23" s="18" t="n">
        <v>10095</v>
      </c>
      <c r="C23" s="18" t="n">
        <v>10094</v>
      </c>
      <c r="D23" s="18" t="n">
        <v>10092</v>
      </c>
      <c r="E23" s="18" t="n">
        <v>10091</v>
      </c>
      <c r="F23" s="18" t="n">
        <v>10090</v>
      </c>
      <c r="G23" s="18" t="n">
        <v>10088</v>
      </c>
      <c r="H23" s="18" t="n">
        <v>10087</v>
      </c>
      <c r="I23" s="18" t="n">
        <v>10358</v>
      </c>
      <c r="J23" s="18" t="n">
        <v>10630</v>
      </c>
      <c r="K23" s="18" t="n">
        <v>10934</v>
      </c>
      <c r="L23" s="18" t="n">
        <v>11237</v>
      </c>
      <c r="M23" s="16">
        <f>IF(B23&gt;0,(L23-B23)/B23,"")</f>
        <v/>
      </c>
    </row>
    <row r="24">
      <c r="A24" s="13" t="inlineStr">
        <is>
          <t>ביר אל-מכסור</t>
        </is>
      </c>
      <c r="B24" s="18" t="n">
        <v>9540</v>
      </c>
      <c r="C24" s="18" t="n">
        <v>9702</v>
      </c>
      <c r="D24" s="18" t="n">
        <v>9863</v>
      </c>
      <c r="E24" s="18" t="n">
        <v>10025</v>
      </c>
      <c r="F24" s="18" t="n">
        <v>10187</v>
      </c>
      <c r="G24" s="18" t="n">
        <v>10348</v>
      </c>
      <c r="H24" s="18" t="n">
        <v>10510</v>
      </c>
      <c r="I24" s="18" t="n">
        <v>10789</v>
      </c>
      <c r="J24" s="18" t="n">
        <v>11068</v>
      </c>
      <c r="K24" s="18" t="n">
        <v>11196</v>
      </c>
      <c r="L24" s="18" t="n">
        <v>11325</v>
      </c>
      <c r="M24" s="16">
        <f>IF(B24&gt;0,(L24-B24)/B24,"")</f>
        <v/>
      </c>
    </row>
    <row r="25">
      <c r="A25" s="13" t="inlineStr">
        <is>
          <t>בית ג'ן</t>
        </is>
      </c>
      <c r="B25" s="18" t="n">
        <v>12336</v>
      </c>
      <c r="C25" s="18" t="n">
        <v>12286</v>
      </c>
      <c r="D25" s="18" t="n">
        <v>12237</v>
      </c>
      <c r="E25" s="18" t="n">
        <v>12187</v>
      </c>
      <c r="F25" s="18" t="n">
        <v>12137</v>
      </c>
      <c r="G25" s="18" t="n">
        <v>12088</v>
      </c>
      <c r="H25" s="18" t="n">
        <v>12038</v>
      </c>
      <c r="I25" s="18" t="n">
        <v>12242</v>
      </c>
      <c r="J25" s="18" t="n">
        <v>12446</v>
      </c>
      <c r="K25" s="18" t="n">
        <v>12768</v>
      </c>
      <c r="L25" s="18" t="n">
        <v>13089</v>
      </c>
      <c r="M25" s="16">
        <f>IF(B25&gt;0,(L25-B25)/B25,"")</f>
        <v/>
      </c>
    </row>
    <row r="26">
      <c r="A26" s="13" t="inlineStr">
        <is>
          <t>בית דגן</t>
        </is>
      </c>
      <c r="B26" s="18" t="n">
        <v>6374</v>
      </c>
      <c r="C26" s="18" t="n">
        <v>6581</v>
      </c>
      <c r="D26" s="18" t="n">
        <v>6788</v>
      </c>
      <c r="E26" s="18" t="n">
        <v>6995</v>
      </c>
      <c r="F26" s="18" t="n">
        <v>7202</v>
      </c>
      <c r="G26" s="18" t="n">
        <v>7409</v>
      </c>
      <c r="H26" s="18" t="n">
        <v>7616</v>
      </c>
      <c r="I26" s="18" t="n">
        <v>7672</v>
      </c>
      <c r="J26" s="18" t="n">
        <v>7727</v>
      </c>
      <c r="K26" s="18" t="n">
        <v>7713</v>
      </c>
      <c r="L26" s="18" t="n">
        <v>7699</v>
      </c>
      <c r="M26" s="16">
        <f>IF(B26&gt;0,(L26-B26)/B26,"")</f>
        <v/>
      </c>
    </row>
    <row r="27">
      <c r="A27" s="13" t="inlineStr">
        <is>
          <t>בית שאן</t>
        </is>
      </c>
      <c r="B27" s="18" t="n">
        <v>20823</v>
      </c>
      <c r="C27" s="18" t="n">
        <v>20657</v>
      </c>
      <c r="D27" s="18" t="n">
        <v>20490</v>
      </c>
      <c r="E27" s="18" t="n">
        <v>20324</v>
      </c>
      <c r="F27" s="18" t="n">
        <v>20158</v>
      </c>
      <c r="G27" s="18" t="n">
        <v>19991</v>
      </c>
      <c r="H27" s="18" t="n">
        <v>19825</v>
      </c>
      <c r="I27" s="18" t="n">
        <v>20039</v>
      </c>
      <c r="J27" s="18" t="n">
        <v>20253</v>
      </c>
      <c r="K27" s="18" t="n">
        <v>21012</v>
      </c>
      <c r="L27" s="18" t="n">
        <v>21770</v>
      </c>
      <c r="M27" s="16">
        <f>IF(B27&gt;0,(L27-B27)/B27,"")</f>
        <v/>
      </c>
    </row>
    <row r="28">
      <c r="A28" s="13" t="inlineStr">
        <is>
          <t>בית שמש</t>
        </is>
      </c>
      <c r="B28" s="18" t="n">
        <v>108729</v>
      </c>
      <c r="C28" s="18" t="n">
        <v>115336</v>
      </c>
      <c r="D28" s="18" t="n">
        <v>121943</v>
      </c>
      <c r="E28" s="18" t="n">
        <v>128550</v>
      </c>
      <c r="F28" s="18" t="n">
        <v>135157</v>
      </c>
      <c r="G28" s="18" t="n">
        <v>141764</v>
      </c>
      <c r="H28" s="18" t="n">
        <v>145554</v>
      </c>
      <c r="I28" s="18" t="n">
        <v>161170</v>
      </c>
      <c r="J28" s="18" t="n">
        <v>176786</v>
      </c>
      <c r="K28" s="18" t="n">
        <v>186995</v>
      </c>
      <c r="L28" s="18" t="n">
        <v>197204</v>
      </c>
      <c r="M28" s="16">
        <f>IF(B28&gt;0,(L28-B28)/B28,"")</f>
        <v/>
      </c>
    </row>
    <row r="29">
      <c r="A29" s="13" t="inlineStr">
        <is>
          <t>ביתר עילית</t>
        </is>
      </c>
      <c r="B29" s="18" t="n">
        <v>56018</v>
      </c>
      <c r="C29" s="18" t="n">
        <v>57625</v>
      </c>
      <c r="D29" s="18" t="n">
        <v>59232</v>
      </c>
      <c r="E29" s="18" t="n">
        <v>60839</v>
      </c>
      <c r="F29" s="18" t="n">
        <v>62446</v>
      </c>
      <c r="G29" s="18" t="n">
        <v>64053</v>
      </c>
      <c r="H29" s="18" t="n">
        <v>65660</v>
      </c>
      <c r="I29" s="18" t="n">
        <v>68023</v>
      </c>
      <c r="J29" s="18" t="n">
        <v>70386</v>
      </c>
      <c r="K29" s="18" t="n">
        <v>72750</v>
      </c>
      <c r="L29" s="18" t="n">
        <v>75113</v>
      </c>
      <c r="M29" s="16">
        <f>IF(B29&gt;0,(L29-B29)/B29,"")</f>
        <v/>
      </c>
    </row>
    <row r="30">
      <c r="A30" s="13" t="inlineStr">
        <is>
          <t>בני ברק</t>
        </is>
      </c>
      <c r="B30" s="18" t="n">
        <v>198608</v>
      </c>
      <c r="C30" s="18" t="n">
        <v>201365</v>
      </c>
      <c r="D30" s="18" t="n">
        <v>204122</v>
      </c>
      <c r="E30" s="18" t="n">
        <v>206880</v>
      </c>
      <c r="F30" s="18" t="n">
        <v>209638</v>
      </c>
      <c r="G30" s="18" t="n">
        <v>212395</v>
      </c>
      <c r="H30" s="18" t="n">
        <v>216869</v>
      </c>
      <c r="I30" s="18" t="n">
        <v>223432</v>
      </c>
      <c r="J30" s="18" t="n">
        <v>229995</v>
      </c>
      <c r="K30" s="18" t="n">
        <v>235862</v>
      </c>
      <c r="L30" s="18" t="n">
        <v>241730</v>
      </c>
      <c r="M30" s="16">
        <f>IF(B30&gt;0,(L30-B30)/B30,"")</f>
        <v/>
      </c>
    </row>
    <row r="31">
      <c r="A31" s="13" t="inlineStr">
        <is>
          <t>בנימינה-גבעת עדה</t>
        </is>
      </c>
      <c r="B31" s="18" t="n">
        <v>15916</v>
      </c>
      <c r="C31" s="18" t="n">
        <v>15808</v>
      </c>
      <c r="D31" s="18" t="n">
        <v>15700</v>
      </c>
      <c r="E31" s="18" t="n">
        <v>15592</v>
      </c>
      <c r="F31" s="18" t="n">
        <v>15484</v>
      </c>
      <c r="G31" s="18" t="n">
        <v>15376</v>
      </c>
      <c r="H31" s="18" t="n">
        <v>15268</v>
      </c>
      <c r="I31" s="18" t="n">
        <v>15417</v>
      </c>
      <c r="J31" s="18" t="n">
        <v>15566</v>
      </c>
      <c r="K31" s="18" t="n">
        <v>16382</v>
      </c>
      <c r="L31" s="18" t="n">
        <v>17199</v>
      </c>
      <c r="M31" s="16">
        <f>IF(B31&gt;0,(L31-B31)/B31,"")</f>
        <v/>
      </c>
    </row>
    <row r="32">
      <c r="A32" s="13" t="inlineStr">
        <is>
          <t>בסמ"ה</t>
        </is>
      </c>
      <c r="B32" s="18" t="n">
        <v>10440</v>
      </c>
      <c r="C32" s="18" t="n">
        <v>10578</v>
      </c>
      <c r="D32" s="18" t="n">
        <v>10715</v>
      </c>
      <c r="E32" s="18" t="n">
        <v>10853</v>
      </c>
      <c r="F32" s="18" t="n">
        <v>10991</v>
      </c>
      <c r="G32" s="18" t="n">
        <v>11128</v>
      </c>
      <c r="H32" s="18" t="n">
        <v>11266</v>
      </c>
      <c r="I32" s="18" t="n">
        <v>11634</v>
      </c>
      <c r="J32" s="18" t="n">
        <v>12002</v>
      </c>
      <c r="K32" s="18" t="n">
        <v>12002</v>
      </c>
      <c r="L32" s="18" t="n">
        <v>12002</v>
      </c>
      <c r="M32" s="16">
        <f>IF(B32&gt;0,(L32-B32)/B32,"")</f>
        <v/>
      </c>
    </row>
    <row r="33">
      <c r="A33" s="13" t="inlineStr">
        <is>
          <t>בסמת טבעון</t>
        </is>
      </c>
      <c r="B33" s="18" t="n">
        <v>7911</v>
      </c>
      <c r="C33" s="18" t="n">
        <v>7933</v>
      </c>
      <c r="D33" s="18" t="n">
        <v>7955</v>
      </c>
      <c r="E33" s="18" t="n">
        <v>7977</v>
      </c>
      <c r="F33" s="18" t="n">
        <v>7999</v>
      </c>
      <c r="G33" s="18" t="n">
        <v>8021</v>
      </c>
      <c r="H33" s="18" t="n">
        <v>8043</v>
      </c>
      <c r="I33" s="18" t="n">
        <v>8156</v>
      </c>
      <c r="J33" s="18" t="n">
        <v>8268</v>
      </c>
      <c r="K33" s="18" t="n">
        <v>8394</v>
      </c>
      <c r="L33" s="18" t="n">
        <v>8520</v>
      </c>
      <c r="M33" s="16">
        <f>IF(B33&gt;0,(L33-B33)/B33,"")</f>
        <v/>
      </c>
    </row>
    <row r="34">
      <c r="A34" s="13" t="inlineStr">
        <is>
          <t>בענה</t>
        </is>
      </c>
      <c r="B34" s="18" t="n">
        <v>8412</v>
      </c>
      <c r="C34" s="18" t="n">
        <v>8430</v>
      </c>
      <c r="D34" s="18" t="n">
        <v>8447</v>
      </c>
      <c r="E34" s="18" t="n">
        <v>8465</v>
      </c>
      <c r="F34" s="18" t="n">
        <v>8483</v>
      </c>
      <c r="G34" s="18" t="n">
        <v>8500</v>
      </c>
      <c r="H34" s="18" t="n">
        <v>8518</v>
      </c>
      <c r="I34" s="18" t="n">
        <v>8616</v>
      </c>
      <c r="J34" s="18" t="n">
        <v>8713</v>
      </c>
      <c r="K34" s="18" t="n">
        <v>8843</v>
      </c>
      <c r="L34" s="18" t="n">
        <v>8973</v>
      </c>
      <c r="M34" s="16">
        <f>IF(B34&gt;0,(L34-B34)/B34,"")</f>
        <v/>
      </c>
    </row>
    <row r="35">
      <c r="A35" s="13" t="inlineStr">
        <is>
          <t>בת ים</t>
        </is>
      </c>
      <c r="B35" s="18" t="n">
        <v>209932</v>
      </c>
      <c r="C35" s="18" t="n">
        <v>192826</v>
      </c>
      <c r="D35" s="18" t="n">
        <v>175720</v>
      </c>
      <c r="E35" s="18" t="n">
        <v>158613</v>
      </c>
      <c r="F35" s="18" t="n">
        <v>141506</v>
      </c>
      <c r="G35" s="18" t="n">
        <v>124400</v>
      </c>
      <c r="H35" s="18" t="n">
        <v>128152</v>
      </c>
      <c r="I35" s="18" t="n">
        <v>128824</v>
      </c>
      <c r="J35" s="18" t="n">
        <v>129495</v>
      </c>
      <c r="K35" s="18" t="n">
        <v>145117</v>
      </c>
      <c r="L35" s="18" t="n">
        <v>160739</v>
      </c>
      <c r="M35" s="16">
        <f>IF(B35&gt;0,(L35-B35)/B35,"")</f>
        <v/>
      </c>
    </row>
    <row r="36">
      <c r="A36" s="13" t="inlineStr">
        <is>
          <t>ג'דיידה-מכר</t>
        </is>
      </c>
      <c r="B36" s="18" t="n">
        <v>21950</v>
      </c>
      <c r="C36" s="18" t="n">
        <v>21599</v>
      </c>
      <c r="D36" s="18" t="n">
        <v>21247</v>
      </c>
      <c r="E36" s="18" t="n">
        <v>20896</v>
      </c>
      <c r="F36" s="18" t="n">
        <v>20545</v>
      </c>
      <c r="G36" s="18" t="n">
        <v>20193</v>
      </c>
      <c r="H36" s="18" t="n">
        <v>19842</v>
      </c>
      <c r="I36" s="18" t="n">
        <v>20037</v>
      </c>
      <c r="J36" s="18" t="n">
        <v>20232</v>
      </c>
      <c r="K36" s="18" t="n">
        <v>21132</v>
      </c>
      <c r="L36" s="18" t="n">
        <v>22031</v>
      </c>
      <c r="M36" s="16">
        <f>IF(B36&gt;0,(L36-B36)/B36,"")</f>
        <v/>
      </c>
    </row>
    <row r="37">
      <c r="A37" s="13" t="inlineStr">
        <is>
          <t>ג'לג'וליה</t>
        </is>
      </c>
      <c r="B37" s="18" t="n">
        <v>10406</v>
      </c>
      <c r="C37" s="18" t="n">
        <v>10422</v>
      </c>
      <c r="D37" s="18" t="n">
        <v>10438</v>
      </c>
      <c r="E37" s="18" t="n">
        <v>10454</v>
      </c>
      <c r="F37" s="18" t="n">
        <v>10470</v>
      </c>
      <c r="G37" s="18" t="n">
        <v>10486</v>
      </c>
      <c r="H37" s="18" t="n">
        <v>10502</v>
      </c>
      <c r="I37" s="18" t="n">
        <v>10747</v>
      </c>
      <c r="J37" s="18" t="n">
        <v>10992</v>
      </c>
      <c r="K37" s="18" t="n">
        <v>11305</v>
      </c>
      <c r="L37" s="18" t="n">
        <v>11618</v>
      </c>
      <c r="M37" s="16">
        <f>IF(B37&gt;0,(L37-B37)/B37,"")</f>
        <v/>
      </c>
    </row>
    <row r="38">
      <c r="A38" s="13" t="inlineStr">
        <is>
          <t>ג'סר א-זרקא</t>
        </is>
      </c>
      <c r="B38" s="18" t="n">
        <v>14574</v>
      </c>
      <c r="C38" s="18" t="n">
        <v>14715</v>
      </c>
      <c r="D38" s="18" t="n">
        <v>14855</v>
      </c>
      <c r="E38" s="18" t="n">
        <v>14996</v>
      </c>
      <c r="F38" s="18" t="n">
        <v>15137</v>
      </c>
      <c r="G38" s="18" t="n">
        <v>15277</v>
      </c>
      <c r="H38" s="18" t="n">
        <v>15418</v>
      </c>
      <c r="I38" s="18" t="n">
        <v>15620</v>
      </c>
      <c r="J38" s="18" t="n">
        <v>15823</v>
      </c>
      <c r="K38" s="18" t="n">
        <v>15961</v>
      </c>
      <c r="L38" s="18" t="n">
        <v>16099</v>
      </c>
      <c r="M38" s="16">
        <f>IF(B38&gt;0,(L38-B38)/B38,"")</f>
        <v/>
      </c>
    </row>
    <row r="39">
      <c r="A39" s="13" t="inlineStr">
        <is>
          <t>ג'ת</t>
        </is>
      </c>
      <c r="B39" s="18" t="n">
        <v>12144</v>
      </c>
      <c r="C39" s="18" t="n">
        <v>12159</v>
      </c>
      <c r="D39" s="18" t="n">
        <v>12173</v>
      </c>
      <c r="E39" s="18" t="n">
        <v>12188</v>
      </c>
      <c r="F39" s="18" t="n">
        <v>12203</v>
      </c>
      <c r="G39" s="18" t="n">
        <v>12217</v>
      </c>
      <c r="H39" s="18" t="n">
        <v>12232</v>
      </c>
      <c r="I39" s="18" t="n">
        <v>12534</v>
      </c>
      <c r="J39" s="18" t="n">
        <v>12835</v>
      </c>
      <c r="K39" s="18" t="n">
        <v>13294</v>
      </c>
      <c r="L39" s="18" t="n">
        <v>13752</v>
      </c>
      <c r="M39" s="16">
        <f>IF(B39&gt;0,(L39-B39)/B39,"")</f>
        <v/>
      </c>
    </row>
    <row r="40">
      <c r="A40" s="13" t="inlineStr">
        <is>
          <t>גבעת זאב</t>
        </is>
      </c>
      <c r="B40" s="18" t="n">
        <v>16753</v>
      </c>
      <c r="C40" s="18" t="n">
        <v>17647</v>
      </c>
      <c r="D40" s="18" t="n">
        <v>18541</v>
      </c>
      <c r="E40" s="18" t="n">
        <v>19435</v>
      </c>
      <c r="F40" s="18" t="n">
        <v>20329</v>
      </c>
      <c r="G40" s="18" t="n">
        <v>21223</v>
      </c>
      <c r="H40" s="18" t="n">
        <v>22117</v>
      </c>
      <c r="I40" s="18" t="n">
        <v>23035</v>
      </c>
      <c r="J40" s="18" t="n">
        <v>23953</v>
      </c>
      <c r="K40" s="18" t="n">
        <v>24871</v>
      </c>
      <c r="L40" s="18" t="n">
        <v>25789</v>
      </c>
      <c r="M40" s="16">
        <f>IF(B40&gt;0,(L40-B40)/B40,"")</f>
        <v/>
      </c>
    </row>
    <row r="41">
      <c r="A41" s="13" t="inlineStr">
        <is>
          <t>גבעת שמואל</t>
        </is>
      </c>
      <c r="B41" s="18" t="n">
        <v>24872</v>
      </c>
      <c r="C41" s="18" t="n">
        <v>25530</v>
      </c>
      <c r="D41" s="18" t="n">
        <v>26188</v>
      </c>
      <c r="E41" s="18" t="n">
        <v>26846</v>
      </c>
      <c r="F41" s="18" t="n">
        <v>27504</v>
      </c>
      <c r="G41" s="18" t="n">
        <v>28162</v>
      </c>
      <c r="H41" s="18" t="n">
        <v>27472</v>
      </c>
      <c r="I41" s="18" t="n">
        <v>28438</v>
      </c>
      <c r="J41" s="18" t="n">
        <v>29405</v>
      </c>
      <c r="K41" s="18" t="n">
        <v>30910</v>
      </c>
      <c r="L41" s="18" t="n">
        <v>32415</v>
      </c>
      <c r="M41" s="16">
        <f>IF(B41&gt;0,(L41-B41)/B41,"")</f>
        <v/>
      </c>
    </row>
    <row r="42">
      <c r="A42" s="13" t="inlineStr">
        <is>
          <t>גבעתיים</t>
        </is>
      </c>
      <c r="B42" s="18" t="n">
        <v>68062</v>
      </c>
      <c r="C42" s="18" t="n">
        <v>66394</v>
      </c>
      <c r="D42" s="18" t="n">
        <v>64725</v>
      </c>
      <c r="E42" s="18" t="n">
        <v>63057</v>
      </c>
      <c r="F42" s="18" t="n">
        <v>61389</v>
      </c>
      <c r="G42" s="18" t="n">
        <v>59720</v>
      </c>
      <c r="H42" s="18" t="n">
        <v>58052</v>
      </c>
      <c r="I42" s="18" t="n">
        <v>58326</v>
      </c>
      <c r="J42" s="18" t="n">
        <v>58600</v>
      </c>
      <c r="K42" s="18" t="n">
        <v>62260</v>
      </c>
      <c r="L42" s="18" t="n">
        <v>65919</v>
      </c>
      <c r="M42" s="16">
        <f>IF(B42&gt;0,(L42-B42)/B42,"")</f>
        <v/>
      </c>
    </row>
    <row r="43">
      <c r="A43" s="13" t="inlineStr">
        <is>
          <t>גדרה</t>
        </is>
      </c>
      <c r="B43" s="18" t="n">
        <v>23992</v>
      </c>
      <c r="C43" s="18" t="n">
        <v>24870</v>
      </c>
      <c r="D43" s="18" t="n">
        <v>25748</v>
      </c>
      <c r="E43" s="18" t="n">
        <v>26626</v>
      </c>
      <c r="F43" s="18" t="n">
        <v>27504</v>
      </c>
      <c r="G43" s="18" t="n">
        <v>28382</v>
      </c>
      <c r="H43" s="18" t="n">
        <v>29260</v>
      </c>
      <c r="I43" s="18" t="n">
        <v>30324</v>
      </c>
      <c r="J43" s="18" t="n">
        <v>31389</v>
      </c>
      <c r="K43" s="18" t="n">
        <v>31654</v>
      </c>
      <c r="L43" s="18" t="n">
        <v>31918</v>
      </c>
      <c r="M43" s="16">
        <f>IF(B43&gt;0,(L43-B43)/B43,"")</f>
        <v/>
      </c>
    </row>
    <row r="44">
      <c r="A44" s="13" t="inlineStr">
        <is>
          <t>גן יבנה</t>
        </is>
      </c>
      <c r="B44" s="18" t="n">
        <v>24684</v>
      </c>
      <c r="C44" s="18" t="n">
        <v>24518</v>
      </c>
      <c r="D44" s="18" t="n">
        <v>24352</v>
      </c>
      <c r="E44" s="18" t="n">
        <v>24186</v>
      </c>
      <c r="F44" s="18" t="n">
        <v>24020</v>
      </c>
      <c r="G44" s="18" t="n">
        <v>23854</v>
      </c>
      <c r="H44" s="18" t="n">
        <v>23688</v>
      </c>
      <c r="I44" s="18" t="n">
        <v>24416</v>
      </c>
      <c r="J44" s="18" t="n">
        <v>25144</v>
      </c>
      <c r="K44" s="18" t="n">
        <v>26328</v>
      </c>
      <c r="L44" s="18" t="n">
        <v>27513</v>
      </c>
      <c r="M44" s="16">
        <f>IF(B44&gt;0,(L44-B44)/B44,"")</f>
        <v/>
      </c>
    </row>
    <row r="45">
      <c r="A45" s="13" t="inlineStr">
        <is>
          <t>גני תקווה</t>
        </is>
      </c>
      <c r="B45" s="18" t="n">
        <v>17936</v>
      </c>
      <c r="C45" s="18" t="n">
        <v>18888</v>
      </c>
      <c r="D45" s="18" t="n">
        <v>19841</v>
      </c>
      <c r="E45" s="18" t="n">
        <v>20793</v>
      </c>
      <c r="F45" s="18" t="n">
        <v>21745</v>
      </c>
      <c r="G45" s="18" t="n">
        <v>22698</v>
      </c>
      <c r="H45" s="18" t="n">
        <v>23650</v>
      </c>
      <c r="I45" s="18" t="n">
        <v>24568</v>
      </c>
      <c r="J45" s="18" t="n">
        <v>25487</v>
      </c>
      <c r="K45" s="18" t="n">
        <v>26009</v>
      </c>
      <c r="L45" s="18" t="n">
        <v>26531</v>
      </c>
      <c r="M45" s="16">
        <f>IF(B45&gt;0,(L45-B45)/B45,"")</f>
        <v/>
      </c>
    </row>
    <row r="46">
      <c r="A46" s="13" t="inlineStr">
        <is>
          <t>דאלית אל-כרמל</t>
        </is>
      </c>
      <c r="B46" s="18" t="n">
        <v>17404</v>
      </c>
      <c r="C46" s="18" t="n">
        <v>17449</v>
      </c>
      <c r="D46" s="18" t="n">
        <v>17493</v>
      </c>
      <c r="E46" s="18" t="n">
        <v>17538</v>
      </c>
      <c r="F46" s="18" t="n">
        <v>17583</v>
      </c>
      <c r="G46" s="18" t="n">
        <v>17627</v>
      </c>
      <c r="H46" s="18" t="n">
        <v>17672</v>
      </c>
      <c r="I46" s="18" t="n">
        <v>18018</v>
      </c>
      <c r="J46" s="18" t="n">
        <v>18363</v>
      </c>
      <c r="K46" s="18" t="n">
        <v>18634</v>
      </c>
      <c r="L46" s="18" t="n">
        <v>18905</v>
      </c>
      <c r="M46" s="16">
        <f>IF(B46&gt;0,(L46-B46)/B46,"")</f>
        <v/>
      </c>
    </row>
    <row r="47">
      <c r="A47" s="13" t="inlineStr">
        <is>
          <t>דבורייה</t>
        </is>
      </c>
      <c r="B47" s="18" t="n">
        <v>9430</v>
      </c>
      <c r="C47" s="18" t="n">
        <v>9605</v>
      </c>
      <c r="D47" s="18" t="n">
        <v>9780</v>
      </c>
      <c r="E47" s="18" t="n">
        <v>9955</v>
      </c>
      <c r="F47" s="18" t="n">
        <v>10130</v>
      </c>
      <c r="G47" s="18" t="n">
        <v>10305</v>
      </c>
      <c r="H47" s="18" t="n">
        <v>10480</v>
      </c>
      <c r="I47" s="18" t="n">
        <v>10655</v>
      </c>
      <c r="J47" s="18" t="n">
        <v>10830</v>
      </c>
      <c r="K47" s="18" t="n">
        <v>10830</v>
      </c>
      <c r="L47" s="18" t="n">
        <v>10830</v>
      </c>
      <c r="M47" s="16">
        <f>IF(B47&gt;0,(L47-B47)/B47,"")</f>
        <v/>
      </c>
    </row>
    <row r="48">
      <c r="A48" s="13" t="inlineStr">
        <is>
          <t>דייר אל-אסד</t>
        </is>
      </c>
      <c r="B48" s="18" t="n">
        <v>13088</v>
      </c>
      <c r="C48" s="18" t="n">
        <v>12936</v>
      </c>
      <c r="D48" s="18" t="n">
        <v>12784</v>
      </c>
      <c r="E48" s="18" t="n">
        <v>12632</v>
      </c>
      <c r="F48" s="18" t="n">
        <v>12480</v>
      </c>
      <c r="G48" s="18" t="n">
        <v>12328</v>
      </c>
      <c r="H48" s="18" t="n">
        <v>12176</v>
      </c>
      <c r="I48" s="18" t="n">
        <v>12398</v>
      </c>
      <c r="J48" s="18" t="n">
        <v>12620</v>
      </c>
      <c r="K48" s="18" t="n">
        <v>13218</v>
      </c>
      <c r="L48" s="18" t="n">
        <v>13815</v>
      </c>
      <c r="M48" s="16">
        <f>IF(B48&gt;0,(L48-B48)/B48,"")</f>
        <v/>
      </c>
    </row>
    <row r="49">
      <c r="A49" s="13" t="inlineStr">
        <is>
          <t>דייר חנא</t>
        </is>
      </c>
      <c r="B49" s="18" t="n">
        <v>11089</v>
      </c>
      <c r="C49" s="18" t="n">
        <v>10955</v>
      </c>
      <c r="D49" s="18" t="n">
        <v>10820</v>
      </c>
      <c r="E49" s="18" t="n">
        <v>10686</v>
      </c>
      <c r="F49" s="18" t="n">
        <v>10552</v>
      </c>
      <c r="G49" s="18" t="n">
        <v>10417</v>
      </c>
      <c r="H49" s="18" t="n">
        <v>10283</v>
      </c>
      <c r="I49" s="18" t="n">
        <v>10522</v>
      </c>
      <c r="J49" s="18" t="n">
        <v>10762</v>
      </c>
      <c r="K49" s="18" t="n">
        <v>11147</v>
      </c>
      <c r="L49" s="18" t="n">
        <v>11532</v>
      </c>
      <c r="M49" s="16">
        <f>IF(B49&gt;0,(L49-B49)/B49,"")</f>
        <v/>
      </c>
    </row>
    <row r="50">
      <c r="A50" s="13" t="inlineStr">
        <is>
          <t>דימונה</t>
        </is>
      </c>
      <c r="B50" s="18" t="n">
        <v>41481</v>
      </c>
      <c r="C50" s="18" t="n">
        <v>40770</v>
      </c>
      <c r="D50" s="18" t="n">
        <v>40058</v>
      </c>
      <c r="E50" s="18" t="n">
        <v>39347</v>
      </c>
      <c r="F50" s="18" t="n">
        <v>38636</v>
      </c>
      <c r="G50" s="18" t="n">
        <v>37924</v>
      </c>
      <c r="H50" s="18" t="n">
        <v>37213</v>
      </c>
      <c r="I50" s="18" t="n">
        <v>38402</v>
      </c>
      <c r="J50" s="18" t="n">
        <v>39590</v>
      </c>
      <c r="K50" s="18" t="n">
        <v>41524</v>
      </c>
      <c r="L50" s="18" t="n">
        <v>43459</v>
      </c>
      <c r="M50" s="16">
        <f>IF(B50&gt;0,(L50-B50)/B50,"")</f>
        <v/>
      </c>
    </row>
    <row r="51">
      <c r="A51" s="13" t="inlineStr">
        <is>
          <t>הוד השרון</t>
        </is>
      </c>
      <c r="B51" s="18" t="n">
        <v>67625</v>
      </c>
      <c r="C51" s="18" t="n">
        <v>66700</v>
      </c>
      <c r="D51" s="18" t="n">
        <v>65775</v>
      </c>
      <c r="E51" s="18" t="n">
        <v>64850</v>
      </c>
      <c r="F51" s="18" t="n">
        <v>63925</v>
      </c>
      <c r="G51" s="18" t="n">
        <v>63000</v>
      </c>
      <c r="H51" s="18" t="n">
        <v>65020</v>
      </c>
      <c r="I51" s="18" t="n">
        <v>65709</v>
      </c>
      <c r="J51" s="18" t="n">
        <v>66398</v>
      </c>
      <c r="K51" s="18" t="n">
        <v>68892</v>
      </c>
      <c r="L51" s="18" t="n">
        <v>71386</v>
      </c>
      <c r="M51" s="16">
        <f>IF(B51&gt;0,(L51-B51)/B51,"")</f>
        <v/>
      </c>
    </row>
    <row r="52">
      <c r="A52" s="13" t="inlineStr">
        <is>
          <t>הרצליה</t>
        </is>
      </c>
      <c r="B52" s="18" t="n">
        <v>113626</v>
      </c>
      <c r="C52" s="18" t="n">
        <v>111564</v>
      </c>
      <c r="D52" s="18" t="n">
        <v>109502</v>
      </c>
      <c r="E52" s="18" t="n">
        <v>107441</v>
      </c>
      <c r="F52" s="18" t="n">
        <v>105380</v>
      </c>
      <c r="G52" s="18" t="n">
        <v>103318</v>
      </c>
      <c r="H52" s="18" t="n">
        <v>105273</v>
      </c>
      <c r="I52" s="18" t="n">
        <v>108079</v>
      </c>
      <c r="J52" s="18" t="n">
        <v>110885</v>
      </c>
      <c r="K52" s="18" t="n">
        <v>119042</v>
      </c>
      <c r="L52" s="18" t="n">
        <v>127199</v>
      </c>
      <c r="M52" s="16">
        <f>IF(B52&gt;0,(L52-B52)/B52,"")</f>
        <v/>
      </c>
    </row>
    <row r="53">
      <c r="A53" s="13" t="inlineStr">
        <is>
          <t>זכרון יעקב</t>
        </is>
      </c>
      <c r="B53" s="18" t="n">
        <v>26019</v>
      </c>
      <c r="C53" s="18" t="n">
        <v>25601</v>
      </c>
      <c r="D53" s="18" t="n">
        <v>25184</v>
      </c>
      <c r="E53" s="18" t="n">
        <v>24766</v>
      </c>
      <c r="F53" s="18" t="n">
        <v>24348</v>
      </c>
      <c r="G53" s="18" t="n">
        <v>23931</v>
      </c>
      <c r="H53" s="18" t="n">
        <v>23513</v>
      </c>
      <c r="I53" s="18" t="n">
        <v>23856</v>
      </c>
      <c r="J53" s="18" t="n">
        <v>24200</v>
      </c>
      <c r="K53" s="18" t="n">
        <v>25698</v>
      </c>
      <c r="L53" s="18" t="n">
        <v>27195</v>
      </c>
      <c r="M53" s="16">
        <f>IF(B53&gt;0,(L53-B53)/B53,"")</f>
        <v/>
      </c>
    </row>
    <row r="54">
      <c r="A54" s="13" t="inlineStr">
        <is>
          <t>זמר</t>
        </is>
      </c>
      <c r="B54" s="18" t="n">
        <v>7030</v>
      </c>
      <c r="C54" s="18" t="n">
        <v>7105</v>
      </c>
      <c r="D54" s="18" t="n">
        <v>7181</v>
      </c>
      <c r="E54" s="18" t="n">
        <v>7256</v>
      </c>
      <c r="F54" s="18" t="n">
        <v>7331</v>
      </c>
      <c r="G54" s="18" t="n">
        <v>7407</v>
      </c>
      <c r="H54" s="18" t="n">
        <v>7482</v>
      </c>
      <c r="I54" s="18" t="n">
        <v>7718</v>
      </c>
      <c r="J54" s="18" t="n">
        <v>7953</v>
      </c>
      <c r="K54" s="18" t="n">
        <v>8138</v>
      </c>
      <c r="L54" s="18" t="n">
        <v>8324</v>
      </c>
      <c r="M54" s="16">
        <f>IF(B54&gt;0,(L54-B54)/B54,"")</f>
        <v/>
      </c>
    </row>
    <row r="55">
      <c r="A55" s="13" t="inlineStr">
        <is>
          <t>זרזיר</t>
        </is>
      </c>
      <c r="B55" s="18" t="n">
        <v>8280</v>
      </c>
      <c r="C55" s="18" t="n">
        <v>8373</v>
      </c>
      <c r="D55" s="18" t="n">
        <v>8465</v>
      </c>
      <c r="E55" s="18" t="n">
        <v>8558</v>
      </c>
      <c r="F55" s="18" t="n">
        <v>8651</v>
      </c>
      <c r="G55" s="18" t="n">
        <v>8743</v>
      </c>
      <c r="H55" s="18" t="n">
        <v>8836</v>
      </c>
      <c r="I55" s="18" t="n">
        <v>8992</v>
      </c>
      <c r="J55" s="18" t="n">
        <v>9149</v>
      </c>
      <c r="K55" s="18" t="n">
        <v>9304</v>
      </c>
      <c r="L55" s="18" t="n">
        <v>9459</v>
      </c>
      <c r="M55" s="16">
        <f>IF(B55&gt;0,(L55-B55)/B55,"")</f>
        <v/>
      </c>
    </row>
    <row r="56">
      <c r="A56" s="13" t="inlineStr">
        <is>
          <t>חדרה</t>
        </is>
      </c>
      <c r="B56" s="18" t="n">
        <v>107751</v>
      </c>
      <c r="C56" s="18" t="n">
        <v>106327</v>
      </c>
      <c r="D56" s="18" t="n">
        <v>104903</v>
      </c>
      <c r="E56" s="18" t="n">
        <v>103479</v>
      </c>
      <c r="F56" s="18" t="n">
        <v>102055</v>
      </c>
      <c r="G56" s="18" t="n">
        <v>100631</v>
      </c>
      <c r="H56" s="18" t="n">
        <v>103847</v>
      </c>
      <c r="I56" s="18" t="n">
        <v>105910</v>
      </c>
      <c r="J56" s="18" t="n">
        <v>107974</v>
      </c>
      <c r="K56" s="18" t="n">
        <v>111419</v>
      </c>
      <c r="L56" s="18" t="n">
        <v>114864</v>
      </c>
      <c r="M56" s="16">
        <f>IF(B56&gt;0,(L56-B56)/B56,"")</f>
        <v/>
      </c>
    </row>
    <row r="57">
      <c r="A57" s="13" t="inlineStr">
        <is>
          <t>חולון</t>
        </is>
      </c>
      <c r="B57" s="18" t="n">
        <v>234099</v>
      </c>
      <c r="C57" s="18" t="n">
        <v>226772</v>
      </c>
      <c r="D57" s="18" t="n">
        <v>219445</v>
      </c>
      <c r="E57" s="18" t="n">
        <v>212118</v>
      </c>
      <c r="F57" s="18" t="n">
        <v>204791</v>
      </c>
      <c r="G57" s="18" t="n">
        <v>197464</v>
      </c>
      <c r="H57" s="18" t="n">
        <v>192655</v>
      </c>
      <c r="I57" s="18" t="n">
        <v>192242</v>
      </c>
      <c r="J57" s="18" t="n">
        <v>191829</v>
      </c>
      <c r="K57" s="18" t="n">
        <v>201869</v>
      </c>
      <c r="L57" s="18" t="n">
        <v>211909</v>
      </c>
      <c r="M57" s="16">
        <f>IF(B57&gt;0,(L57-B57)/B57,"")</f>
        <v/>
      </c>
    </row>
    <row r="58">
      <c r="A58" s="13" t="inlineStr">
        <is>
          <t>חורה</t>
        </is>
      </c>
      <c r="B58" s="18" t="n">
        <v>13839</v>
      </c>
      <c r="C58" s="18" t="n">
        <v>14978</v>
      </c>
      <c r="D58" s="18" t="n">
        <v>16116</v>
      </c>
      <c r="E58" s="18" t="n">
        <v>17255</v>
      </c>
      <c r="F58" s="18" t="n">
        <v>18394</v>
      </c>
      <c r="G58" s="18" t="n">
        <v>19532</v>
      </c>
      <c r="H58" s="18" t="n">
        <v>20671</v>
      </c>
      <c r="I58" s="18" t="n">
        <v>21853</v>
      </c>
      <c r="J58" s="18" t="n">
        <v>23035</v>
      </c>
      <c r="K58" s="18" t="n">
        <v>23076</v>
      </c>
      <c r="L58" s="18" t="n">
        <v>23118</v>
      </c>
      <c r="M58" s="16">
        <f>IF(B58&gt;0,(L58-B58)/B58,"")</f>
        <v/>
      </c>
    </row>
    <row r="59">
      <c r="A59" s="13" t="inlineStr">
        <is>
          <t>חיפה</t>
        </is>
      </c>
      <c r="B59" s="18" t="n">
        <v>382124</v>
      </c>
      <c r="C59" s="18" t="n">
        <v>362266</v>
      </c>
      <c r="D59" s="18" t="n">
        <v>342408</v>
      </c>
      <c r="E59" s="18" t="n">
        <v>322549</v>
      </c>
      <c r="F59" s="18" t="n">
        <v>302690</v>
      </c>
      <c r="G59" s="18" t="n">
        <v>282832</v>
      </c>
      <c r="H59" s="18" t="n">
        <v>289507</v>
      </c>
      <c r="I59" s="18" t="n">
        <v>293295</v>
      </c>
      <c r="J59" s="18" t="n">
        <v>297083</v>
      </c>
      <c r="K59" s="18" t="n">
        <v>320052</v>
      </c>
      <c r="L59" s="18" t="n">
        <v>343021</v>
      </c>
      <c r="M59" s="16">
        <f>IF(B59&gt;0,(L59-B59)/B59,"")</f>
        <v/>
      </c>
    </row>
    <row r="60">
      <c r="A60" s="13" t="inlineStr">
        <is>
          <t>חצור הגלילית</t>
        </is>
      </c>
      <c r="B60" s="18" t="n">
        <v>10052</v>
      </c>
      <c r="C60" s="18" t="n">
        <v>10150</v>
      </c>
      <c r="D60" s="18" t="n">
        <v>10247</v>
      </c>
      <c r="E60" s="18" t="n">
        <v>10345</v>
      </c>
      <c r="F60" s="18" t="n">
        <v>10443</v>
      </c>
      <c r="G60" s="18" t="n">
        <v>10540</v>
      </c>
      <c r="H60" s="18" t="n">
        <v>10638</v>
      </c>
      <c r="I60" s="18" t="n">
        <v>10826</v>
      </c>
      <c r="J60" s="18" t="n">
        <v>11013</v>
      </c>
      <c r="K60" s="18" t="n">
        <v>11234</v>
      </c>
      <c r="L60" s="18" t="n">
        <v>11454</v>
      </c>
      <c r="M60" s="16">
        <f>IF(B60&gt;0,(L60-B60)/B60,"")</f>
        <v/>
      </c>
    </row>
    <row r="61">
      <c r="A61" s="13" t="inlineStr">
        <is>
          <t>חריש</t>
        </is>
      </c>
      <c r="B61" s="18" t="n">
        <v>-13345</v>
      </c>
      <c r="C61" s="18" t="n">
        <v>-5832</v>
      </c>
      <c r="D61" s="18" t="n">
        <v>1681</v>
      </c>
      <c r="E61" s="18" t="n">
        <v>9194</v>
      </c>
      <c r="F61" s="18" t="n">
        <v>16707</v>
      </c>
      <c r="G61" s="18" t="n">
        <v>24220</v>
      </c>
      <c r="H61" s="18" t="n">
        <v>31733</v>
      </c>
      <c r="I61" s="18" t="n">
        <v>36654</v>
      </c>
      <c r="J61" s="18" t="n">
        <v>41574</v>
      </c>
      <c r="K61" s="18" t="n">
        <v>41664</v>
      </c>
      <c r="L61" s="18" t="n">
        <v>41754</v>
      </c>
      <c r="M61" s="16">
        <f>IF(B61&gt;0,(L61-B61)/B61,"")</f>
        <v/>
      </c>
    </row>
    <row r="62">
      <c r="A62" s="13" t="inlineStr">
        <is>
          <t>טבריה</t>
        </is>
      </c>
      <c r="B62" s="18" t="n">
        <v>52463</v>
      </c>
      <c r="C62" s="18" t="n">
        <v>51310</v>
      </c>
      <c r="D62" s="18" t="n">
        <v>50157</v>
      </c>
      <c r="E62" s="18" t="n">
        <v>49004</v>
      </c>
      <c r="F62" s="18" t="n">
        <v>47851</v>
      </c>
      <c r="G62" s="18" t="n">
        <v>46698</v>
      </c>
      <c r="H62" s="18" t="n">
        <v>48509</v>
      </c>
      <c r="I62" s="18" t="n">
        <v>50316</v>
      </c>
      <c r="J62" s="18" t="n">
        <v>52122</v>
      </c>
      <c r="K62" s="18" t="n">
        <v>54404</v>
      </c>
      <c r="L62" s="18" t="n">
        <v>56687</v>
      </c>
      <c r="M62" s="16">
        <f>IF(B62&gt;0,(L62-B62)/B62,"")</f>
        <v/>
      </c>
    </row>
    <row r="63">
      <c r="A63" s="13" t="inlineStr">
        <is>
          <t>טובא-זנגרייה</t>
        </is>
      </c>
      <c r="B63" s="18" t="n">
        <v>6221</v>
      </c>
      <c r="C63" s="18" t="n">
        <v>6340</v>
      </c>
      <c r="D63" s="18" t="n">
        <v>6459</v>
      </c>
      <c r="E63" s="18" t="n">
        <v>6578</v>
      </c>
      <c r="F63" s="18" t="n">
        <v>6697</v>
      </c>
      <c r="G63" s="18" t="n">
        <v>6816</v>
      </c>
      <c r="H63" s="18" t="n">
        <v>6935</v>
      </c>
      <c r="I63" s="18" t="n">
        <v>7054</v>
      </c>
      <c r="J63" s="18" t="n">
        <v>7173</v>
      </c>
      <c r="K63" s="18" t="n">
        <v>7173</v>
      </c>
      <c r="L63" s="18" t="n">
        <v>7173</v>
      </c>
      <c r="M63" s="16">
        <f>IF(B63&gt;0,(L63-B63)/B63,"")</f>
        <v/>
      </c>
    </row>
    <row r="64">
      <c r="A64" s="13" t="inlineStr">
        <is>
          <t>טורעאן</t>
        </is>
      </c>
      <c r="B64" s="18" t="n">
        <v>14639</v>
      </c>
      <c r="C64" s="18" t="n">
        <v>14599</v>
      </c>
      <c r="D64" s="18" t="n">
        <v>14558</v>
      </c>
      <c r="E64" s="18" t="n">
        <v>14518</v>
      </c>
      <c r="F64" s="18" t="n">
        <v>14478</v>
      </c>
      <c r="G64" s="18" t="n">
        <v>14437</v>
      </c>
      <c r="H64" s="18" t="n">
        <v>14397</v>
      </c>
      <c r="I64" s="18" t="n">
        <v>14664</v>
      </c>
      <c r="J64" s="18" t="n">
        <v>14931</v>
      </c>
      <c r="K64" s="18" t="n">
        <v>15406</v>
      </c>
      <c r="L64" s="18" t="n">
        <v>15882</v>
      </c>
      <c r="M64" s="16">
        <f>IF(B64&gt;0,(L64-B64)/B64,"")</f>
        <v/>
      </c>
    </row>
    <row r="65">
      <c r="A65" s="13" t="inlineStr">
        <is>
          <t>טייבה</t>
        </is>
      </c>
      <c r="B65" s="18" t="n">
        <v>43089</v>
      </c>
      <c r="C65" s="18" t="n">
        <v>43419</v>
      </c>
      <c r="D65" s="18" t="n">
        <v>43750</v>
      </c>
      <c r="E65" s="18" t="n">
        <v>44080</v>
      </c>
      <c r="F65" s="18" t="n">
        <v>44410</v>
      </c>
      <c r="G65" s="18" t="n">
        <v>44741</v>
      </c>
      <c r="H65" s="18" t="n">
        <v>45071</v>
      </c>
      <c r="I65" s="18" t="n">
        <v>45970</v>
      </c>
      <c r="J65" s="18" t="n">
        <v>46870</v>
      </c>
      <c r="K65" s="18" t="n">
        <v>47794</v>
      </c>
      <c r="L65" s="18" t="n">
        <v>48717</v>
      </c>
      <c r="M65" s="16">
        <f>IF(B65&gt;0,(L65-B65)/B65,"")</f>
        <v/>
      </c>
    </row>
    <row r="66">
      <c r="A66" s="13" t="inlineStr">
        <is>
          <t>טירה</t>
        </is>
      </c>
      <c r="B66" s="18" t="n">
        <v>27177</v>
      </c>
      <c r="C66" s="18" t="n">
        <v>27075</v>
      </c>
      <c r="D66" s="18" t="n">
        <v>26974</v>
      </c>
      <c r="E66" s="18" t="n">
        <v>26872</v>
      </c>
      <c r="F66" s="18" t="n">
        <v>26770</v>
      </c>
      <c r="G66" s="18" t="n">
        <v>26669</v>
      </c>
      <c r="H66" s="18" t="n">
        <v>26567</v>
      </c>
      <c r="I66" s="18" t="n">
        <v>27124</v>
      </c>
      <c r="J66" s="18" t="n">
        <v>27680</v>
      </c>
      <c r="K66" s="18" t="n">
        <v>28652</v>
      </c>
      <c r="L66" s="18" t="n">
        <v>29624</v>
      </c>
      <c r="M66" s="16">
        <f>IF(B66&gt;0,(L66-B66)/B66,"")</f>
        <v/>
      </c>
    </row>
    <row r="67">
      <c r="A67" s="13" t="inlineStr">
        <is>
          <t>טירת כרמל</t>
        </is>
      </c>
      <c r="B67" s="18" t="n">
        <v>20297</v>
      </c>
      <c r="C67" s="18" t="n">
        <v>21759</v>
      </c>
      <c r="D67" s="18" t="n">
        <v>23221</v>
      </c>
      <c r="E67" s="18" t="n">
        <v>24683</v>
      </c>
      <c r="F67" s="18" t="n">
        <v>26145</v>
      </c>
      <c r="G67" s="18" t="n">
        <v>27607</v>
      </c>
      <c r="H67" s="18" t="n">
        <v>29069</v>
      </c>
      <c r="I67" s="18" t="n">
        <v>30618</v>
      </c>
      <c r="J67" s="18" t="n">
        <v>32166</v>
      </c>
      <c r="K67" s="18" t="n">
        <v>33084</v>
      </c>
      <c r="L67" s="18" t="n">
        <v>34001</v>
      </c>
      <c r="M67" s="16">
        <f>IF(B67&gt;0,(L67-B67)/B67,"")</f>
        <v/>
      </c>
    </row>
    <row r="68">
      <c r="A68" s="13" t="inlineStr">
        <is>
          <t>טמרה</t>
        </is>
      </c>
      <c r="B68" s="18" t="n">
        <v>33149</v>
      </c>
      <c r="C68" s="18" t="n">
        <v>33516</v>
      </c>
      <c r="D68" s="18" t="n">
        <v>33882</v>
      </c>
      <c r="E68" s="18" t="n">
        <v>34249</v>
      </c>
      <c r="F68" s="18" t="n">
        <v>34616</v>
      </c>
      <c r="G68" s="18" t="n">
        <v>34982</v>
      </c>
      <c r="H68" s="18" t="n">
        <v>35349</v>
      </c>
      <c r="I68" s="18" t="n">
        <v>36134</v>
      </c>
      <c r="J68" s="18" t="n">
        <v>36919</v>
      </c>
      <c r="K68" s="18" t="n">
        <v>37384</v>
      </c>
      <c r="L68" s="18" t="n">
        <v>37850</v>
      </c>
      <c r="M68" s="16">
        <f>IF(B68&gt;0,(L68-B68)/B68,"")</f>
        <v/>
      </c>
    </row>
    <row r="69">
      <c r="A69" s="13" t="inlineStr">
        <is>
          <t>יבנה</t>
        </is>
      </c>
      <c r="B69" s="18" t="n">
        <v>42791</v>
      </c>
      <c r="C69" s="18" t="n">
        <v>44823</v>
      </c>
      <c r="D69" s="18" t="n">
        <v>46854</v>
      </c>
      <c r="E69" s="18" t="n">
        <v>48886</v>
      </c>
      <c r="F69" s="18" t="n">
        <v>50918</v>
      </c>
      <c r="G69" s="18" t="n">
        <v>52949</v>
      </c>
      <c r="H69" s="18" t="n">
        <v>54981</v>
      </c>
      <c r="I69" s="18" t="n">
        <v>56536</v>
      </c>
      <c r="J69" s="18" t="n">
        <v>58090</v>
      </c>
      <c r="K69" s="18" t="n">
        <v>59306</v>
      </c>
      <c r="L69" s="18" t="n">
        <v>60521</v>
      </c>
      <c r="M69" s="16">
        <f>IF(B69&gt;0,(L69-B69)/B69,"")</f>
        <v/>
      </c>
    </row>
    <row r="70">
      <c r="A70" s="13" t="inlineStr">
        <is>
          <t>יהוד-מונוסון</t>
        </is>
      </c>
      <c r="B70" s="18" t="n">
        <v>33382</v>
      </c>
      <c r="C70" s="18" t="n">
        <v>32829</v>
      </c>
      <c r="D70" s="18" t="n">
        <v>32276</v>
      </c>
      <c r="E70" s="18" t="n">
        <v>31724</v>
      </c>
      <c r="F70" s="18" t="n">
        <v>31172</v>
      </c>
      <c r="G70" s="18" t="n">
        <v>30619</v>
      </c>
      <c r="H70" s="18" t="n">
        <v>30977</v>
      </c>
      <c r="I70" s="18" t="n">
        <v>31561</v>
      </c>
      <c r="J70" s="18" t="n">
        <v>32145</v>
      </c>
      <c r="K70" s="18" t="n">
        <v>32791</v>
      </c>
      <c r="L70" s="18" t="n">
        <v>33437</v>
      </c>
      <c r="M70" s="16">
        <f>IF(B70&gt;0,(L70-B70)/B70,"")</f>
        <v/>
      </c>
    </row>
    <row r="71">
      <c r="A71" s="13" t="inlineStr">
        <is>
          <t>יפיע</t>
        </is>
      </c>
      <c r="B71" s="18" t="n">
        <v>20579</v>
      </c>
      <c r="C71" s="18" t="n">
        <v>20168</v>
      </c>
      <c r="D71" s="18" t="n">
        <v>19757</v>
      </c>
      <c r="E71" s="18" t="n">
        <v>19346</v>
      </c>
      <c r="F71" s="18" t="n">
        <v>18935</v>
      </c>
      <c r="G71" s="18" t="n">
        <v>18524</v>
      </c>
      <c r="H71" s="18" t="n">
        <v>18113</v>
      </c>
      <c r="I71" s="18" t="n">
        <v>18475</v>
      </c>
      <c r="J71" s="18" t="n">
        <v>18837</v>
      </c>
      <c r="K71" s="18" t="n">
        <v>19846</v>
      </c>
      <c r="L71" s="18" t="n">
        <v>20855</v>
      </c>
      <c r="M71" s="16">
        <f>IF(B71&gt;0,(L71-B71)/B71,"")</f>
        <v/>
      </c>
    </row>
    <row r="72">
      <c r="A72" s="13" t="inlineStr">
        <is>
          <t>יקנעם עילית</t>
        </is>
      </c>
      <c r="B72" s="18" t="n">
        <v>26909</v>
      </c>
      <c r="C72" s="18" t="n">
        <v>26379</v>
      </c>
      <c r="D72" s="18" t="n">
        <v>25849</v>
      </c>
      <c r="E72" s="18" t="n">
        <v>25319</v>
      </c>
      <c r="F72" s="18" t="n">
        <v>24789</v>
      </c>
      <c r="G72" s="18" t="n">
        <v>24259</v>
      </c>
      <c r="H72" s="18" t="n">
        <v>23729</v>
      </c>
      <c r="I72" s="18" t="n">
        <v>24328</v>
      </c>
      <c r="J72" s="18" t="n">
        <v>24928</v>
      </c>
      <c r="K72" s="18" t="n">
        <v>26283</v>
      </c>
      <c r="L72" s="18" t="n">
        <v>27638</v>
      </c>
      <c r="M72" s="16">
        <f>IF(B72&gt;0,(L72-B72)/B72,"")</f>
        <v/>
      </c>
    </row>
    <row r="73">
      <c r="A73" s="13" t="inlineStr">
        <is>
          <t>ירוחם</t>
        </is>
      </c>
      <c r="B73" s="18" t="n">
        <v>10625</v>
      </c>
      <c r="C73" s="18" t="n">
        <v>10755</v>
      </c>
      <c r="D73" s="18" t="n">
        <v>10884</v>
      </c>
      <c r="E73" s="18" t="n">
        <v>11014</v>
      </c>
      <c r="F73" s="18" t="n">
        <v>11144</v>
      </c>
      <c r="G73" s="18" t="n">
        <v>11273</v>
      </c>
      <c r="H73" s="18" t="n">
        <v>11403</v>
      </c>
      <c r="I73" s="18" t="n">
        <v>11696</v>
      </c>
      <c r="J73" s="18" t="n">
        <v>11989</v>
      </c>
      <c r="K73" s="18" t="n">
        <v>12406</v>
      </c>
      <c r="L73" s="18" t="n">
        <v>12824</v>
      </c>
      <c r="M73" s="16">
        <f>IF(B73&gt;0,(L73-B73)/B73,"")</f>
        <v/>
      </c>
    </row>
    <row r="74">
      <c r="A74" s="13" t="inlineStr">
        <is>
          <t>ירושלים</t>
        </is>
      </c>
      <c r="B74" s="18" t="n">
        <v>1040208</v>
      </c>
      <c r="C74" s="18" t="n">
        <v>1025408</v>
      </c>
      <c r="D74" s="18" t="n">
        <v>1010608</v>
      </c>
      <c r="E74" s="18" t="n">
        <v>995809</v>
      </c>
      <c r="F74" s="18" t="n">
        <v>981010</v>
      </c>
      <c r="G74" s="18" t="n">
        <v>966210</v>
      </c>
      <c r="H74" s="18" t="n">
        <v>1005919</v>
      </c>
      <c r="I74" s="18" t="n">
        <v>1028035</v>
      </c>
      <c r="J74" s="18" t="n">
        <v>1050151</v>
      </c>
      <c r="K74" s="18" t="n">
        <v>1079645</v>
      </c>
      <c r="L74" s="18" t="n">
        <v>1109139</v>
      </c>
      <c r="M74" s="16">
        <f>IF(B74&gt;0,(L74-B74)/B74,"")</f>
        <v/>
      </c>
    </row>
    <row r="75">
      <c r="A75" s="13" t="inlineStr">
        <is>
          <t>ירכא</t>
        </is>
      </c>
      <c r="B75" s="18" t="n">
        <v>15544</v>
      </c>
      <c r="C75" s="18" t="n">
        <v>15652</v>
      </c>
      <c r="D75" s="18" t="n">
        <v>15761</v>
      </c>
      <c r="E75" s="18" t="n">
        <v>15869</v>
      </c>
      <c r="F75" s="18" t="n">
        <v>15977</v>
      </c>
      <c r="G75" s="18" t="n">
        <v>16086</v>
      </c>
      <c r="H75" s="18" t="n">
        <v>16194</v>
      </c>
      <c r="I75" s="18" t="n">
        <v>16508</v>
      </c>
      <c r="J75" s="18" t="n">
        <v>16823</v>
      </c>
      <c r="K75" s="18" t="n">
        <v>17034</v>
      </c>
      <c r="L75" s="18" t="n">
        <v>17244</v>
      </c>
      <c r="M75" s="16">
        <f>IF(B75&gt;0,(L75-B75)/B75,"")</f>
        <v/>
      </c>
    </row>
    <row r="76">
      <c r="A76" s="13" t="inlineStr">
        <is>
          <t>כאבול</t>
        </is>
      </c>
      <c r="B76" s="18" t="n">
        <v>12469</v>
      </c>
      <c r="C76" s="18" t="n">
        <v>12390</v>
      </c>
      <c r="D76" s="18" t="n">
        <v>12310</v>
      </c>
      <c r="E76" s="18" t="n">
        <v>12231</v>
      </c>
      <c r="F76" s="18" t="n">
        <v>12152</v>
      </c>
      <c r="G76" s="18" t="n">
        <v>12072</v>
      </c>
      <c r="H76" s="18" t="n">
        <v>11993</v>
      </c>
      <c r="I76" s="18" t="n">
        <v>12291</v>
      </c>
      <c r="J76" s="18" t="n">
        <v>12589</v>
      </c>
      <c r="K76" s="18" t="n">
        <v>13082</v>
      </c>
      <c r="L76" s="18" t="n">
        <v>13575</v>
      </c>
      <c r="M76" s="16">
        <f>IF(B76&gt;0,(L76-B76)/B76,"")</f>
        <v/>
      </c>
    </row>
    <row r="77">
      <c r="A77" s="13" t="inlineStr">
        <is>
          <t>כוכב יאיר</t>
        </is>
      </c>
      <c r="B77" s="18" t="n">
        <v>11244</v>
      </c>
      <c r="C77" s="18" t="n">
        <v>10899</v>
      </c>
      <c r="D77" s="18" t="n">
        <v>10555</v>
      </c>
      <c r="E77" s="18" t="n">
        <v>10210</v>
      </c>
      <c r="F77" s="18" t="n">
        <v>9865</v>
      </c>
      <c r="G77" s="18" t="n">
        <v>9521</v>
      </c>
      <c r="H77" s="18" t="n">
        <v>9176</v>
      </c>
      <c r="I77" s="18" t="n">
        <v>9092</v>
      </c>
      <c r="J77" s="18" t="n">
        <v>9007</v>
      </c>
      <c r="K77" s="18" t="n">
        <v>9007</v>
      </c>
      <c r="L77" s="18" t="n">
        <v>9007</v>
      </c>
      <c r="M77" s="16">
        <f>IF(B77&gt;0,(L77-B77)/B77,"")</f>
        <v/>
      </c>
    </row>
    <row r="78">
      <c r="A78" s="13" t="inlineStr">
        <is>
          <t>כוכב יעקב</t>
        </is>
      </c>
      <c r="B78" s="18" t="n">
        <v>7924</v>
      </c>
      <c r="C78" s="18" t="n">
        <v>8284</v>
      </c>
      <c r="D78" s="18" t="n">
        <v>8645</v>
      </c>
      <c r="E78" s="18" t="n">
        <v>9005</v>
      </c>
      <c r="F78" s="18" t="n">
        <v>9365</v>
      </c>
      <c r="G78" s="18" t="n">
        <v>9726</v>
      </c>
      <c r="H78" s="18" t="n">
        <v>10086</v>
      </c>
      <c r="I78" s="18" t="n">
        <v>8498</v>
      </c>
      <c r="J78" s="18" t="n">
        <v>6911</v>
      </c>
      <c r="K78" s="18" t="n">
        <v>5324</v>
      </c>
      <c r="L78" s="18" t="n">
        <v>3736</v>
      </c>
      <c r="M78" s="16">
        <f>IF(B78&gt;0,(L78-B78)/B78,"")</f>
        <v/>
      </c>
    </row>
    <row r="79">
      <c r="A79" s="13" t="inlineStr">
        <is>
          <t>כסיפה</t>
        </is>
      </c>
      <c r="B79" s="18" t="n">
        <v>15733</v>
      </c>
      <c r="C79" s="18" t="n">
        <v>16255</v>
      </c>
      <c r="D79" s="18" t="n">
        <v>16778</v>
      </c>
      <c r="E79" s="18" t="n">
        <v>17300</v>
      </c>
      <c r="F79" s="18" t="n">
        <v>17822</v>
      </c>
      <c r="G79" s="18" t="n">
        <v>18345</v>
      </c>
      <c r="H79" s="18" t="n">
        <v>18867</v>
      </c>
      <c r="I79" s="18" t="n">
        <v>20358</v>
      </c>
      <c r="J79" s="18" t="n">
        <v>21849</v>
      </c>
      <c r="K79" s="18" t="n">
        <v>22230</v>
      </c>
      <c r="L79" s="18" t="n">
        <v>22610</v>
      </c>
      <c r="M79" s="16">
        <f>IF(B79&gt;0,(L79-B79)/B79,"")</f>
        <v/>
      </c>
    </row>
    <row r="80">
      <c r="A80" s="13" t="inlineStr">
        <is>
          <t>כסרא-סמיע</t>
        </is>
      </c>
      <c r="B80" s="18" t="n">
        <v>8632</v>
      </c>
      <c r="C80" s="18" t="n">
        <v>8682</v>
      </c>
      <c r="D80" s="18" t="n">
        <v>8731</v>
      </c>
      <c r="E80" s="18" t="n">
        <v>8781</v>
      </c>
      <c r="F80" s="18" t="n">
        <v>8831</v>
      </c>
      <c r="G80" s="18" t="n">
        <v>8880</v>
      </c>
      <c r="H80" s="18" t="n">
        <v>8930</v>
      </c>
      <c r="I80" s="18" t="n">
        <v>9240</v>
      </c>
      <c r="J80" s="18" t="n">
        <v>9549</v>
      </c>
      <c r="K80" s="18" t="n">
        <v>9717</v>
      </c>
      <c r="L80" s="18" t="n">
        <v>9885</v>
      </c>
      <c r="M80" s="16">
        <f>IF(B80&gt;0,(L80-B80)/B80,"")</f>
        <v/>
      </c>
    </row>
    <row r="81">
      <c r="A81" s="13" t="inlineStr">
        <is>
          <t>כפר יאסיף</t>
        </is>
      </c>
      <c r="B81" s="18" t="n">
        <v>11346</v>
      </c>
      <c r="C81" s="18" t="n">
        <v>11217</v>
      </c>
      <c r="D81" s="18" t="n">
        <v>11089</v>
      </c>
      <c r="E81" s="18" t="n">
        <v>10960</v>
      </c>
      <c r="F81" s="18" t="n">
        <v>10831</v>
      </c>
      <c r="G81" s="18" t="n">
        <v>10703</v>
      </c>
      <c r="H81" s="18" t="n">
        <v>10574</v>
      </c>
      <c r="I81" s="18" t="n">
        <v>10550</v>
      </c>
      <c r="J81" s="18" t="n">
        <v>10527</v>
      </c>
      <c r="K81" s="18" t="n">
        <v>10922</v>
      </c>
      <c r="L81" s="18" t="n">
        <v>11316</v>
      </c>
      <c r="M81" s="16">
        <f>IF(B81&gt;0,(L81-B81)/B81,"")</f>
        <v/>
      </c>
    </row>
    <row r="82">
      <c r="A82" s="13" t="inlineStr">
        <is>
          <t>כפר יונה</t>
        </is>
      </c>
      <c r="B82" s="18" t="n">
        <v>18427</v>
      </c>
      <c r="C82" s="18" t="n">
        <v>20045</v>
      </c>
      <c r="D82" s="18" t="n">
        <v>21663</v>
      </c>
      <c r="E82" s="18" t="n">
        <v>23281</v>
      </c>
      <c r="F82" s="18" t="n">
        <v>24899</v>
      </c>
      <c r="G82" s="18" t="n">
        <v>26517</v>
      </c>
      <c r="H82" s="18" t="n">
        <v>28135</v>
      </c>
      <c r="I82" s="18" t="n">
        <v>28978</v>
      </c>
      <c r="J82" s="18" t="n">
        <v>29820</v>
      </c>
      <c r="K82" s="18" t="n">
        <v>30158</v>
      </c>
      <c r="L82" s="18" t="n">
        <v>30496</v>
      </c>
      <c r="M82" s="16">
        <f>IF(B82&gt;0,(L82-B82)/B82,"")</f>
        <v/>
      </c>
    </row>
    <row r="83">
      <c r="A83" s="13" t="inlineStr">
        <is>
          <t>כפר כנא</t>
        </is>
      </c>
      <c r="B83" s="18" t="n">
        <v>21168</v>
      </c>
      <c r="C83" s="18" t="n">
        <v>21684</v>
      </c>
      <c r="D83" s="18" t="n">
        <v>22199</v>
      </c>
      <c r="E83" s="18" t="n">
        <v>22715</v>
      </c>
      <c r="F83" s="18" t="n">
        <v>23231</v>
      </c>
      <c r="G83" s="18" t="n">
        <v>23746</v>
      </c>
      <c r="H83" s="18" t="n">
        <v>24262</v>
      </c>
      <c r="I83" s="18" t="n">
        <v>24818</v>
      </c>
      <c r="J83" s="18" t="n">
        <v>25375</v>
      </c>
      <c r="K83" s="18" t="n">
        <v>25468</v>
      </c>
      <c r="L83" s="18" t="n">
        <v>25561</v>
      </c>
      <c r="M83" s="16">
        <f>IF(B83&gt;0,(L83-B83)/B83,"")</f>
        <v/>
      </c>
    </row>
    <row r="84">
      <c r="A84" s="13" t="inlineStr">
        <is>
          <t>כפר מנדא</t>
        </is>
      </c>
      <c r="B84" s="18" t="n">
        <v>19351</v>
      </c>
      <c r="C84" s="18" t="n">
        <v>19633</v>
      </c>
      <c r="D84" s="18" t="n">
        <v>19914</v>
      </c>
      <c r="E84" s="18" t="n">
        <v>20196</v>
      </c>
      <c r="F84" s="18" t="n">
        <v>20478</v>
      </c>
      <c r="G84" s="18" t="n">
        <v>20759</v>
      </c>
      <c r="H84" s="18" t="n">
        <v>21041</v>
      </c>
      <c r="I84" s="18" t="n">
        <v>21654</v>
      </c>
      <c r="J84" s="18" t="n">
        <v>22267</v>
      </c>
      <c r="K84" s="18" t="n">
        <v>22652</v>
      </c>
      <c r="L84" s="18" t="n">
        <v>23038</v>
      </c>
      <c r="M84" s="16">
        <f>IF(B84&gt;0,(L84-B84)/B84,"")</f>
        <v/>
      </c>
    </row>
    <row r="85">
      <c r="A85" s="13" t="inlineStr">
        <is>
          <t>כפר סבא</t>
        </is>
      </c>
      <c r="B85" s="18" t="n">
        <v>119682</v>
      </c>
      <c r="C85" s="18" t="n">
        <v>116445</v>
      </c>
      <c r="D85" s="18" t="n">
        <v>113209</v>
      </c>
      <c r="E85" s="18" t="n">
        <v>109972</v>
      </c>
      <c r="F85" s="18" t="n">
        <v>106735</v>
      </c>
      <c r="G85" s="18" t="n">
        <v>103499</v>
      </c>
      <c r="H85" s="18" t="n">
        <v>100262</v>
      </c>
      <c r="I85" s="18" t="n">
        <v>99836</v>
      </c>
      <c r="J85" s="18" t="n">
        <v>99410</v>
      </c>
      <c r="K85" s="18" t="n">
        <v>105619</v>
      </c>
      <c r="L85" s="18" t="n">
        <v>111828</v>
      </c>
      <c r="M85" s="16">
        <f>IF(B85&gt;0,(L85-B85)/B85,"")</f>
        <v/>
      </c>
    </row>
    <row r="86">
      <c r="A86" s="13" t="inlineStr">
        <is>
          <t>כפר קאסם</t>
        </is>
      </c>
      <c r="B86" s="18" t="n">
        <v>21785</v>
      </c>
      <c r="C86" s="18" t="n">
        <v>22552</v>
      </c>
      <c r="D86" s="18" t="n">
        <v>23320</v>
      </c>
      <c r="E86" s="18" t="n">
        <v>24087</v>
      </c>
      <c r="F86" s="18" t="n">
        <v>24854</v>
      </c>
      <c r="G86" s="18" t="n">
        <v>25622</v>
      </c>
      <c r="H86" s="18" t="n">
        <v>26389</v>
      </c>
      <c r="I86" s="18" t="n">
        <v>27193</v>
      </c>
      <c r="J86" s="18" t="n">
        <v>27997</v>
      </c>
      <c r="K86" s="18" t="n">
        <v>27818</v>
      </c>
      <c r="L86" s="18" t="n">
        <v>27638</v>
      </c>
      <c r="M86" s="16">
        <f>IF(B86&gt;0,(L86-B86)/B86,"")</f>
        <v/>
      </c>
    </row>
    <row r="87">
      <c r="A87" s="13" t="inlineStr">
        <is>
          <t>כפר קרע</t>
        </is>
      </c>
      <c r="B87" s="18" t="n">
        <v>18464</v>
      </c>
      <c r="C87" s="18" t="n">
        <v>18702</v>
      </c>
      <c r="D87" s="18" t="n">
        <v>18939</v>
      </c>
      <c r="E87" s="18" t="n">
        <v>19177</v>
      </c>
      <c r="F87" s="18" t="n">
        <v>19415</v>
      </c>
      <c r="G87" s="18" t="n">
        <v>19652</v>
      </c>
      <c r="H87" s="18" t="n">
        <v>19890</v>
      </c>
      <c r="I87" s="18" t="n">
        <v>20478</v>
      </c>
      <c r="J87" s="18" t="n">
        <v>21067</v>
      </c>
      <c r="K87" s="18" t="n">
        <v>21446</v>
      </c>
      <c r="L87" s="18" t="n">
        <v>21826</v>
      </c>
      <c r="M87" s="16">
        <f>IF(B87&gt;0,(L87-B87)/B87,"")</f>
        <v/>
      </c>
    </row>
    <row r="88">
      <c r="A88" s="13" t="inlineStr">
        <is>
          <t>כרמיאל</t>
        </is>
      </c>
      <c r="B88" s="18" t="n">
        <v>60038</v>
      </c>
      <c r="C88" s="18" t="n">
        <v>57940</v>
      </c>
      <c r="D88" s="18" t="n">
        <v>55842</v>
      </c>
      <c r="E88" s="18" t="n">
        <v>53744</v>
      </c>
      <c r="F88" s="18" t="n">
        <v>51646</v>
      </c>
      <c r="G88" s="18" t="n">
        <v>49548</v>
      </c>
      <c r="H88" s="18" t="n">
        <v>47450</v>
      </c>
      <c r="I88" s="18" t="n">
        <v>47696</v>
      </c>
      <c r="J88" s="18" t="n">
        <v>47941</v>
      </c>
      <c r="K88" s="18" t="n">
        <v>51691</v>
      </c>
      <c r="L88" s="18" t="n">
        <v>55441</v>
      </c>
      <c r="M88" s="16">
        <f>IF(B88&gt;0,(L88-B88)/B88,"")</f>
        <v/>
      </c>
    </row>
    <row r="89">
      <c r="A89" s="13" t="inlineStr">
        <is>
          <t>להבים</t>
        </is>
      </c>
      <c r="B89" s="18" t="n">
        <v>5630</v>
      </c>
      <c r="C89" s="18" t="n">
        <v>5973</v>
      </c>
      <c r="D89" s="18" t="n">
        <v>6315</v>
      </c>
      <c r="E89" s="18" t="n">
        <v>6658</v>
      </c>
      <c r="F89" s="18" t="n">
        <v>7001</v>
      </c>
      <c r="G89" s="18" t="n">
        <v>7343</v>
      </c>
      <c r="H89" s="18" t="n">
        <v>7686</v>
      </c>
      <c r="I89" s="18" t="n">
        <v>7857</v>
      </c>
      <c r="J89" s="18" t="n">
        <v>8028</v>
      </c>
      <c r="K89" s="18" t="n">
        <v>7958</v>
      </c>
      <c r="L89" s="18" t="n">
        <v>7889</v>
      </c>
      <c r="M89" s="16">
        <f>IF(B89&gt;0,(L89-B89)/B89,"")</f>
        <v/>
      </c>
    </row>
    <row r="90">
      <c r="A90" s="13" t="inlineStr">
        <is>
          <t>לוד</t>
        </is>
      </c>
      <c r="B90" s="18" t="n">
        <v>81634</v>
      </c>
      <c r="C90" s="18" t="n">
        <v>81833</v>
      </c>
      <c r="D90" s="18" t="n">
        <v>82032</v>
      </c>
      <c r="E90" s="18" t="n">
        <v>82231</v>
      </c>
      <c r="F90" s="18" t="n">
        <v>82430</v>
      </c>
      <c r="G90" s="18" t="n">
        <v>82629</v>
      </c>
      <c r="H90" s="18" t="n">
        <v>87430</v>
      </c>
      <c r="I90" s="18" t="n">
        <v>90810</v>
      </c>
      <c r="J90" s="18" t="n">
        <v>94189</v>
      </c>
      <c r="K90" s="18" t="n">
        <v>97138</v>
      </c>
      <c r="L90" s="18" t="n">
        <v>100087</v>
      </c>
      <c r="M90" s="16">
        <f>IF(B90&gt;0,(L90-B90)/B90,"")</f>
        <v/>
      </c>
    </row>
    <row r="91">
      <c r="A91" s="13" t="inlineStr">
        <is>
          <t>לקיה</t>
        </is>
      </c>
      <c r="B91" s="18" t="n">
        <v>12846</v>
      </c>
      <c r="C91" s="18" t="n">
        <v>13551</v>
      </c>
      <c r="D91" s="18" t="n">
        <v>14255</v>
      </c>
      <c r="E91" s="18" t="n">
        <v>14960</v>
      </c>
      <c r="F91" s="18" t="n">
        <v>15665</v>
      </c>
      <c r="G91" s="18" t="n">
        <v>16369</v>
      </c>
      <c r="H91" s="18" t="n">
        <v>17074</v>
      </c>
      <c r="I91" s="18" t="n">
        <v>18218</v>
      </c>
      <c r="J91" s="18" t="n">
        <v>19361</v>
      </c>
      <c r="K91" s="18" t="n">
        <v>19481</v>
      </c>
      <c r="L91" s="18" t="n">
        <v>19601</v>
      </c>
      <c r="M91" s="16">
        <f>IF(B91&gt;0,(L91-B91)/B91,"")</f>
        <v/>
      </c>
    </row>
    <row r="92">
      <c r="A92" s="13" t="inlineStr">
        <is>
          <t>מבשרת ציון</t>
        </is>
      </c>
      <c r="B92" s="18" t="n">
        <v>26600</v>
      </c>
      <c r="C92" s="18" t="n">
        <v>26413</v>
      </c>
      <c r="D92" s="18" t="n">
        <v>26225</v>
      </c>
      <c r="E92" s="18" t="n">
        <v>26038</v>
      </c>
      <c r="F92" s="18" t="n">
        <v>25851</v>
      </c>
      <c r="G92" s="18" t="n">
        <v>25663</v>
      </c>
      <c r="H92" s="18" t="n">
        <v>25476</v>
      </c>
      <c r="I92" s="18" t="n">
        <v>26005</v>
      </c>
      <c r="J92" s="18" t="n">
        <v>26534</v>
      </c>
      <c r="K92" s="18" t="n">
        <v>28052</v>
      </c>
      <c r="L92" s="18" t="n">
        <v>29569</v>
      </c>
      <c r="M92" s="16">
        <f>IF(B92&gt;0,(L92-B92)/B92,"")</f>
        <v/>
      </c>
    </row>
    <row r="93">
      <c r="A93" s="13" t="inlineStr">
        <is>
          <t>מג'ד אל-כרום</t>
        </is>
      </c>
      <c r="B93" s="18" t="n">
        <v>16144</v>
      </c>
      <c r="C93" s="18" t="n">
        <v>15929</v>
      </c>
      <c r="D93" s="18" t="n">
        <v>15713</v>
      </c>
      <c r="E93" s="18" t="n">
        <v>15498</v>
      </c>
      <c r="F93" s="18" t="n">
        <v>15283</v>
      </c>
      <c r="G93" s="18" t="n">
        <v>15067</v>
      </c>
      <c r="H93" s="18" t="n">
        <v>14852</v>
      </c>
      <c r="I93" s="18" t="n">
        <v>15140</v>
      </c>
      <c r="J93" s="18" t="n">
        <v>15429</v>
      </c>
      <c r="K93" s="18" t="n">
        <v>16019</v>
      </c>
      <c r="L93" s="18" t="n">
        <v>16609</v>
      </c>
      <c r="M93" s="16">
        <f>IF(B93&gt;0,(L93-B93)/B93,"")</f>
        <v/>
      </c>
    </row>
    <row r="94">
      <c r="A94" s="13" t="inlineStr">
        <is>
          <t>מג'דל שמס</t>
        </is>
      </c>
      <c r="B94" s="18" t="n">
        <v>11627</v>
      </c>
      <c r="C94" s="18" t="n">
        <v>11540</v>
      </c>
      <c r="D94" s="18" t="n">
        <v>11452</v>
      </c>
      <c r="E94" s="18" t="n">
        <v>11365</v>
      </c>
      <c r="F94" s="18" t="n">
        <v>11278</v>
      </c>
      <c r="G94" s="18" t="n">
        <v>11190</v>
      </c>
      <c r="H94" s="18" t="n">
        <v>11103</v>
      </c>
      <c r="I94" s="18" t="n">
        <v>11184</v>
      </c>
      <c r="J94" s="18" t="n">
        <v>11264</v>
      </c>
      <c r="K94" s="18" t="n">
        <v>11625</v>
      </c>
      <c r="L94" s="18" t="n">
        <v>11986</v>
      </c>
      <c r="M94" s="16">
        <f>IF(B94&gt;0,(L94-B94)/B94,"")</f>
        <v/>
      </c>
    </row>
    <row r="95">
      <c r="A95" s="13" t="inlineStr">
        <is>
          <t>מגאר</t>
        </is>
      </c>
      <c r="B95" s="18" t="n">
        <v>23454</v>
      </c>
      <c r="C95" s="18" t="n">
        <v>23306</v>
      </c>
      <c r="D95" s="18" t="n">
        <v>23157</v>
      </c>
      <c r="E95" s="18" t="n">
        <v>23009</v>
      </c>
      <c r="F95" s="18" t="n">
        <v>22861</v>
      </c>
      <c r="G95" s="18" t="n">
        <v>22712</v>
      </c>
      <c r="H95" s="18" t="n">
        <v>22564</v>
      </c>
      <c r="I95" s="18" t="n">
        <v>23025</v>
      </c>
      <c r="J95" s="18" t="n">
        <v>23486</v>
      </c>
      <c r="K95" s="18" t="n">
        <v>24385</v>
      </c>
      <c r="L95" s="18" t="n">
        <v>25284</v>
      </c>
      <c r="M95" s="16">
        <f>IF(B95&gt;0,(L95-B95)/B95,"")</f>
        <v/>
      </c>
    </row>
    <row r="96">
      <c r="A96" s="13" t="inlineStr">
        <is>
          <t>מגדל העמק</t>
        </is>
      </c>
      <c r="B96" s="18" t="n">
        <v>31105</v>
      </c>
      <c r="C96" s="18" t="n">
        <v>30428</v>
      </c>
      <c r="D96" s="18" t="n">
        <v>29752</v>
      </c>
      <c r="E96" s="18" t="n">
        <v>29075</v>
      </c>
      <c r="F96" s="18" t="n">
        <v>28398</v>
      </c>
      <c r="G96" s="18" t="n">
        <v>27722</v>
      </c>
      <c r="H96" s="18" t="n">
        <v>27045</v>
      </c>
      <c r="I96" s="18" t="n">
        <v>27738</v>
      </c>
      <c r="J96" s="18" t="n">
        <v>28431</v>
      </c>
      <c r="K96" s="18" t="n">
        <v>30334</v>
      </c>
      <c r="L96" s="18" t="n">
        <v>32236</v>
      </c>
      <c r="M96" s="16">
        <f>IF(B96&gt;0,(L96-B96)/B96,"")</f>
        <v/>
      </c>
    </row>
    <row r="97">
      <c r="A97" s="13" t="inlineStr">
        <is>
          <t>מודיעין עילית</t>
        </is>
      </c>
      <c r="B97" s="18" t="n">
        <v>67845</v>
      </c>
      <c r="C97" s="18" t="n">
        <v>70393</v>
      </c>
      <c r="D97" s="18" t="n">
        <v>72941</v>
      </c>
      <c r="E97" s="18" t="n">
        <v>75489</v>
      </c>
      <c r="F97" s="18" t="n">
        <v>78037</v>
      </c>
      <c r="G97" s="18" t="n">
        <v>80585</v>
      </c>
      <c r="H97" s="18" t="n">
        <v>83133</v>
      </c>
      <c r="I97" s="18" t="n">
        <v>85531</v>
      </c>
      <c r="J97" s="18" t="n">
        <v>87928</v>
      </c>
      <c r="K97" s="18" t="n">
        <v>90326</v>
      </c>
      <c r="L97" s="18" t="n">
        <v>92724</v>
      </c>
      <c r="M97" s="16">
        <f>IF(B97&gt;0,(L97-B97)/B97,"")</f>
        <v/>
      </c>
    </row>
    <row r="98">
      <c r="A98" s="13" t="inlineStr">
        <is>
          <t>מודיעין-מכבים-רעות</t>
        </is>
      </c>
      <c r="B98" s="18" t="n">
        <v>97283</v>
      </c>
      <c r="C98" s="18" t="n">
        <v>96454</v>
      </c>
      <c r="D98" s="18" t="n">
        <v>95624</v>
      </c>
      <c r="E98" s="18" t="n">
        <v>94795</v>
      </c>
      <c r="F98" s="18" t="n">
        <v>93966</v>
      </c>
      <c r="G98" s="18" t="n">
        <v>93136</v>
      </c>
      <c r="H98" s="18" t="n">
        <v>92307</v>
      </c>
      <c r="I98" s="18" t="n">
        <v>96180</v>
      </c>
      <c r="J98" s="18" t="n">
        <v>100052</v>
      </c>
      <c r="K98" s="18" t="n">
        <v>105718</v>
      </c>
      <c r="L98" s="18" t="n">
        <v>111384</v>
      </c>
      <c r="M98" s="16">
        <f>IF(B98&gt;0,(L98-B98)/B98,"")</f>
        <v/>
      </c>
    </row>
    <row r="99">
      <c r="A99" s="13" t="inlineStr">
        <is>
          <t>מזכרת בתיה</t>
        </is>
      </c>
      <c r="B99" s="18" t="n">
        <v>16166</v>
      </c>
      <c r="C99" s="18" t="n">
        <v>16115</v>
      </c>
      <c r="D99" s="18" t="n">
        <v>16063</v>
      </c>
      <c r="E99" s="18" t="n">
        <v>16012</v>
      </c>
      <c r="F99" s="18" t="n">
        <v>15961</v>
      </c>
      <c r="G99" s="18" t="n">
        <v>15909</v>
      </c>
      <c r="H99" s="18" t="n">
        <v>15858</v>
      </c>
      <c r="I99" s="18" t="n">
        <v>16096</v>
      </c>
      <c r="J99" s="18" t="n">
        <v>16334</v>
      </c>
      <c r="K99" s="18" t="n">
        <v>16908</v>
      </c>
      <c r="L99" s="18" t="n">
        <v>17481</v>
      </c>
      <c r="M99" s="16">
        <f>IF(B99&gt;0,(L99-B99)/B99,"")</f>
        <v/>
      </c>
    </row>
    <row r="100">
      <c r="A100" s="13" t="inlineStr">
        <is>
          <t>מיתר</t>
        </is>
      </c>
      <c r="B100" s="18" t="n">
        <v>9323</v>
      </c>
      <c r="C100" s="18" t="n">
        <v>9637</v>
      </c>
      <c r="D100" s="18" t="n">
        <v>9951</v>
      </c>
      <c r="E100" s="18" t="n">
        <v>10265</v>
      </c>
      <c r="F100" s="18" t="n">
        <v>10579</v>
      </c>
      <c r="G100" s="18" t="n">
        <v>10893</v>
      </c>
      <c r="H100" s="18" t="n">
        <v>11207</v>
      </c>
      <c r="I100" s="18" t="n">
        <v>11408</v>
      </c>
      <c r="J100" s="18" t="n">
        <v>11609</v>
      </c>
      <c r="K100" s="18" t="n">
        <v>12170</v>
      </c>
      <c r="L100" s="18" t="n">
        <v>12731</v>
      </c>
      <c r="M100" s="16">
        <f>IF(B100&gt;0,(L100-B100)/B100,"")</f>
        <v/>
      </c>
    </row>
    <row r="101">
      <c r="A101" s="13" t="inlineStr">
        <is>
          <t>מעלה אדומים</t>
        </is>
      </c>
      <c r="B101" s="18" t="n">
        <v>45786</v>
      </c>
      <c r="C101" s="18" t="n">
        <v>44266</v>
      </c>
      <c r="D101" s="18" t="n">
        <v>42745</v>
      </c>
      <c r="E101" s="18" t="n">
        <v>41225</v>
      </c>
      <c r="F101" s="18" t="n">
        <v>39705</v>
      </c>
      <c r="G101" s="18" t="n">
        <v>38184</v>
      </c>
      <c r="H101" s="18" t="n">
        <v>36664</v>
      </c>
      <c r="I101" s="18" t="n">
        <v>37713</v>
      </c>
      <c r="J101" s="18" t="n">
        <v>38762</v>
      </c>
      <c r="K101" s="18" t="n">
        <v>39811</v>
      </c>
      <c r="L101" s="18" t="n">
        <v>40860</v>
      </c>
      <c r="M101" s="16">
        <f>IF(B101&gt;0,(L101-B101)/B101,"")</f>
        <v/>
      </c>
    </row>
    <row r="102">
      <c r="A102" s="13" t="inlineStr">
        <is>
          <t>מעלה עירון</t>
        </is>
      </c>
      <c r="B102" s="18" t="n">
        <v>15467</v>
      </c>
      <c r="C102" s="18" t="n">
        <v>15367</v>
      </c>
      <c r="D102" s="18" t="n">
        <v>15266</v>
      </c>
      <c r="E102" s="18" t="n">
        <v>15166</v>
      </c>
      <c r="F102" s="18" t="n">
        <v>15066</v>
      </c>
      <c r="G102" s="18" t="n">
        <v>14965</v>
      </c>
      <c r="H102" s="18" t="n">
        <v>14865</v>
      </c>
      <c r="I102" s="18" t="n">
        <v>15176</v>
      </c>
      <c r="J102" s="18" t="n">
        <v>15486</v>
      </c>
      <c r="K102" s="18" t="n">
        <v>16149</v>
      </c>
      <c r="L102" s="18" t="n">
        <v>16812</v>
      </c>
      <c r="M102" s="16">
        <f>IF(B102&gt;0,(L102-B102)/B102,"")</f>
        <v/>
      </c>
    </row>
    <row r="103">
      <c r="A103" s="13" t="inlineStr">
        <is>
          <t>מעלות-תרשיחא</t>
        </is>
      </c>
      <c r="B103" s="18" t="n">
        <v>26302</v>
      </c>
      <c r="C103" s="18" t="n">
        <v>25705</v>
      </c>
      <c r="D103" s="18" t="n">
        <v>25108</v>
      </c>
      <c r="E103" s="18" t="n">
        <v>24511</v>
      </c>
      <c r="F103" s="18" t="n">
        <v>23914</v>
      </c>
      <c r="G103" s="18" t="n">
        <v>23317</v>
      </c>
      <c r="H103" s="18" t="n">
        <v>22720</v>
      </c>
      <c r="I103" s="18" t="n">
        <v>22881</v>
      </c>
      <c r="J103" s="18" t="n">
        <v>23042</v>
      </c>
      <c r="K103" s="18" t="n">
        <v>24620</v>
      </c>
      <c r="L103" s="18" t="n">
        <v>26197</v>
      </c>
      <c r="M103" s="16">
        <f>IF(B103&gt;0,(L103-B103)/B103,"")</f>
        <v/>
      </c>
    </row>
    <row r="104">
      <c r="A104" s="13" t="inlineStr">
        <is>
          <t>משהד</t>
        </is>
      </c>
      <c r="B104" s="18" t="n">
        <v>8963</v>
      </c>
      <c r="C104" s="18" t="n">
        <v>8886</v>
      </c>
      <c r="D104" s="18" t="n">
        <v>8808</v>
      </c>
      <c r="E104" s="18" t="n">
        <v>8731</v>
      </c>
      <c r="F104" s="18" t="n">
        <v>8654</v>
      </c>
      <c r="G104" s="18" t="n">
        <v>8576</v>
      </c>
      <c r="H104" s="18" t="n">
        <v>8499</v>
      </c>
      <c r="I104" s="18" t="n">
        <v>8660</v>
      </c>
      <c r="J104" s="18" t="n">
        <v>8822</v>
      </c>
      <c r="K104" s="18" t="n">
        <v>9182</v>
      </c>
      <c r="L104" s="18" t="n">
        <v>9542</v>
      </c>
      <c r="M104" s="16">
        <f>IF(B104&gt;0,(L104-B104)/B104,"")</f>
        <v/>
      </c>
    </row>
    <row r="105">
      <c r="A105" s="13" t="inlineStr">
        <is>
          <t>נהרייה</t>
        </is>
      </c>
      <c r="B105" s="18" t="n">
        <v>49641</v>
      </c>
      <c r="C105" s="18" t="n">
        <v>51920</v>
      </c>
      <c r="D105" s="18" t="n">
        <v>54200</v>
      </c>
      <c r="E105" s="18" t="n">
        <v>56480</v>
      </c>
      <c r="F105" s="18" t="n">
        <v>58759</v>
      </c>
      <c r="G105" s="18" t="n">
        <v>61038</v>
      </c>
      <c r="H105" s="18" t="n">
        <v>63318</v>
      </c>
      <c r="I105" s="18" t="n">
        <v>65598</v>
      </c>
      <c r="J105" s="18" t="n">
        <v>67877</v>
      </c>
      <c r="K105" s="18" t="n">
        <v>67877</v>
      </c>
      <c r="L105" s="18" t="n">
        <v>67877</v>
      </c>
      <c r="M105" s="16">
        <f>IF(B105&gt;0,(L105-B105)/B105,"")</f>
        <v/>
      </c>
    </row>
    <row r="106">
      <c r="A106" s="13" t="inlineStr">
        <is>
          <t>נוף הגליל</t>
        </is>
      </c>
      <c r="B106" s="18" t="n">
        <v>63402</v>
      </c>
      <c r="C106" s="18" t="n">
        <v>59253</v>
      </c>
      <c r="D106" s="18" t="n">
        <v>55104</v>
      </c>
      <c r="E106" s="18" t="n">
        <v>50955</v>
      </c>
      <c r="F106" s="18" t="n">
        <v>46806</v>
      </c>
      <c r="G106" s="18" t="n">
        <v>42657</v>
      </c>
      <c r="H106" s="18" t="n">
        <v>43479</v>
      </c>
      <c r="I106" s="18" t="n">
        <v>44642</v>
      </c>
      <c r="J106" s="18" t="n">
        <v>45805</v>
      </c>
      <c r="K106" s="18" t="n">
        <v>51028</v>
      </c>
      <c r="L106" s="18" t="n">
        <v>56251</v>
      </c>
      <c r="M106" s="16">
        <f>IF(B106&gt;0,(L106-B106)/B106,"")</f>
        <v/>
      </c>
    </row>
    <row r="107">
      <c r="A107" s="13" t="inlineStr">
        <is>
          <t>נחף</t>
        </is>
      </c>
      <c r="B107" s="18" t="n">
        <v>13330</v>
      </c>
      <c r="C107" s="18" t="n">
        <v>13349</v>
      </c>
      <c r="D107" s="18" t="n">
        <v>13369</v>
      </c>
      <c r="E107" s="18" t="n">
        <v>13388</v>
      </c>
      <c r="F107" s="18" t="n">
        <v>13407</v>
      </c>
      <c r="G107" s="18" t="n">
        <v>13427</v>
      </c>
      <c r="H107" s="18" t="n">
        <v>13446</v>
      </c>
      <c r="I107" s="18" t="n">
        <v>13721</v>
      </c>
      <c r="J107" s="18" t="n">
        <v>13996</v>
      </c>
      <c r="K107" s="18" t="n">
        <v>14378</v>
      </c>
      <c r="L107" s="18" t="n">
        <v>14761</v>
      </c>
      <c r="M107" s="16">
        <f>IF(B107&gt;0,(L107-B107)/B107,"")</f>
        <v/>
      </c>
    </row>
    <row r="108">
      <c r="A108" s="13" t="inlineStr">
        <is>
          <t>נס ציונה</t>
        </is>
      </c>
      <c r="B108" s="18" t="n">
        <v>50864</v>
      </c>
      <c r="C108" s="18" t="n">
        <v>50323</v>
      </c>
      <c r="D108" s="18" t="n">
        <v>49783</v>
      </c>
      <c r="E108" s="18" t="n">
        <v>49242</v>
      </c>
      <c r="F108" s="18" t="n">
        <v>48701</v>
      </c>
      <c r="G108" s="18" t="n">
        <v>48161</v>
      </c>
      <c r="H108" s="18" t="n">
        <v>47620</v>
      </c>
      <c r="I108" s="18" t="n">
        <v>47444</v>
      </c>
      <c r="J108" s="18" t="n">
        <v>47268</v>
      </c>
      <c r="K108" s="18" t="n">
        <v>48444</v>
      </c>
      <c r="L108" s="18" t="n">
        <v>49620</v>
      </c>
      <c r="M108" s="16">
        <f>IF(B108&gt;0,(L108-B108)/B108,"")</f>
        <v/>
      </c>
    </row>
    <row r="109">
      <c r="A109" s="13" t="inlineStr">
        <is>
          <t>נצרת</t>
        </is>
      </c>
      <c r="B109" s="18" t="n">
        <v>86615</v>
      </c>
      <c r="C109" s="18" t="n">
        <v>85062</v>
      </c>
      <c r="D109" s="18" t="n">
        <v>83508</v>
      </c>
      <c r="E109" s="18" t="n">
        <v>81955</v>
      </c>
      <c r="F109" s="18" t="n">
        <v>80402</v>
      </c>
      <c r="G109" s="18" t="n">
        <v>78848</v>
      </c>
      <c r="H109" s="18" t="n">
        <v>77295</v>
      </c>
      <c r="I109" s="18" t="n">
        <v>76500</v>
      </c>
      <c r="J109" s="18" t="n">
        <v>75704</v>
      </c>
      <c r="K109" s="18" t="n">
        <v>78994</v>
      </c>
      <c r="L109" s="18" t="n">
        <v>82285</v>
      </c>
      <c r="M109" s="16">
        <f>IF(B109&gt;0,(L109-B109)/B109,"")</f>
        <v/>
      </c>
    </row>
    <row r="110">
      <c r="A110" s="13" t="inlineStr">
        <is>
          <t>נשר</t>
        </is>
      </c>
      <c r="B110" s="18" t="n">
        <v>27429</v>
      </c>
      <c r="C110" s="18" t="n">
        <v>26676</v>
      </c>
      <c r="D110" s="18" t="n">
        <v>25923</v>
      </c>
      <c r="E110" s="18" t="n">
        <v>25170</v>
      </c>
      <c r="F110" s="18" t="n">
        <v>24417</v>
      </c>
      <c r="G110" s="18" t="n">
        <v>23664</v>
      </c>
      <c r="H110" s="18" t="n">
        <v>22911</v>
      </c>
      <c r="I110" s="18" t="n">
        <v>22904</v>
      </c>
      <c r="J110" s="18" t="n">
        <v>22897</v>
      </c>
      <c r="K110" s="18" t="n">
        <v>24048</v>
      </c>
      <c r="L110" s="18" t="n">
        <v>25199</v>
      </c>
      <c r="M110" s="16">
        <f>IF(B110&gt;0,(L110-B110)/B110,"")</f>
        <v/>
      </c>
    </row>
    <row r="111">
      <c r="A111" s="13" t="inlineStr">
        <is>
          <t>נתיבות</t>
        </is>
      </c>
      <c r="B111" s="18" t="n">
        <v>33159</v>
      </c>
      <c r="C111" s="18" t="n">
        <v>34935</v>
      </c>
      <c r="D111" s="18" t="n">
        <v>36711</v>
      </c>
      <c r="E111" s="18" t="n">
        <v>38487</v>
      </c>
      <c r="F111" s="18" t="n">
        <v>40263</v>
      </c>
      <c r="G111" s="18" t="n">
        <v>42039</v>
      </c>
      <c r="H111" s="18" t="n">
        <v>45024</v>
      </c>
      <c r="I111" s="18" t="n">
        <v>50522</v>
      </c>
      <c r="J111" s="18" t="n">
        <v>56019</v>
      </c>
      <c r="K111" s="18" t="n">
        <v>57971</v>
      </c>
      <c r="L111" s="18" t="n">
        <v>59923</v>
      </c>
      <c r="M111" s="16">
        <f>IF(B111&gt;0,(L111-B111)/B111,"")</f>
        <v/>
      </c>
    </row>
    <row r="112">
      <c r="A112" s="13" t="inlineStr">
        <is>
          <t>נתניה</t>
        </is>
      </c>
      <c r="B112" s="18" t="n">
        <v>285106</v>
      </c>
      <c r="C112" s="18" t="n">
        <v>272898</v>
      </c>
      <c r="D112" s="18" t="n">
        <v>260690</v>
      </c>
      <c r="E112" s="18" t="n">
        <v>248482</v>
      </c>
      <c r="F112" s="18" t="n">
        <v>236274</v>
      </c>
      <c r="G112" s="18" t="n">
        <v>224066</v>
      </c>
      <c r="H112" s="18" t="n">
        <v>223920</v>
      </c>
      <c r="I112" s="18" t="n">
        <v>229366</v>
      </c>
      <c r="J112" s="18" t="n">
        <v>234812</v>
      </c>
      <c r="K112" s="18" t="n">
        <v>261115</v>
      </c>
      <c r="L112" s="18" t="n">
        <v>287418</v>
      </c>
      <c r="M112" s="16">
        <f>IF(B112&gt;0,(L112-B112)/B112,"")</f>
        <v/>
      </c>
    </row>
    <row r="113">
      <c r="A113" s="13" t="inlineStr">
        <is>
          <t>סח'נין</t>
        </is>
      </c>
      <c r="B113" s="18" t="n">
        <v>32629</v>
      </c>
      <c r="C113" s="18" t="n">
        <v>32583</v>
      </c>
      <c r="D113" s="18" t="n">
        <v>32538</v>
      </c>
      <c r="E113" s="18" t="n">
        <v>32492</v>
      </c>
      <c r="F113" s="18" t="n">
        <v>32446</v>
      </c>
      <c r="G113" s="18" t="n">
        <v>32401</v>
      </c>
      <c r="H113" s="18" t="n">
        <v>32355</v>
      </c>
      <c r="I113" s="18" t="n">
        <v>33040</v>
      </c>
      <c r="J113" s="18" t="n">
        <v>33726</v>
      </c>
      <c r="K113" s="18" t="n">
        <v>34862</v>
      </c>
      <c r="L113" s="18" t="n">
        <v>35997</v>
      </c>
      <c r="M113" s="16">
        <f>IF(B113&gt;0,(L113-B113)/B113,"")</f>
        <v/>
      </c>
    </row>
    <row r="114">
      <c r="A114" s="13" t="inlineStr">
        <is>
          <t>עומר</t>
        </is>
      </c>
      <c r="B114" s="18" t="n">
        <v>9608</v>
      </c>
      <c r="C114" s="18" t="n">
        <v>9382</v>
      </c>
      <c r="D114" s="18" t="n">
        <v>9155</v>
      </c>
      <c r="E114" s="18" t="n">
        <v>8929</v>
      </c>
      <c r="F114" s="18" t="n">
        <v>8703</v>
      </c>
      <c r="G114" s="18" t="n">
        <v>8476</v>
      </c>
      <c r="H114" s="18" t="n">
        <v>8250</v>
      </c>
      <c r="I114" s="18" t="n">
        <v>8164</v>
      </c>
      <c r="J114" s="18" t="n">
        <v>8077</v>
      </c>
      <c r="K114" s="18" t="n">
        <v>8581</v>
      </c>
      <c r="L114" s="18" t="n">
        <v>9085</v>
      </c>
      <c r="M114" s="16">
        <f>IF(B114&gt;0,(L114-B114)/B114,"")</f>
        <v/>
      </c>
    </row>
    <row r="115">
      <c r="A115" s="13" t="inlineStr">
        <is>
          <t>עילוט</t>
        </is>
      </c>
      <c r="B115" s="18" t="n">
        <v>8081</v>
      </c>
      <c r="C115" s="18" t="n">
        <v>8161</v>
      </c>
      <c r="D115" s="18" t="n">
        <v>8241</v>
      </c>
      <c r="E115" s="18" t="n">
        <v>8321</v>
      </c>
      <c r="F115" s="18" t="n">
        <v>8401</v>
      </c>
      <c r="G115" s="18" t="n">
        <v>8481</v>
      </c>
      <c r="H115" s="18" t="n">
        <v>8561</v>
      </c>
      <c r="I115" s="18" t="n">
        <v>8819</v>
      </c>
      <c r="J115" s="18" t="n">
        <v>9077</v>
      </c>
      <c r="K115" s="18" t="n">
        <v>9264</v>
      </c>
      <c r="L115" s="18" t="n">
        <v>9450</v>
      </c>
      <c r="M115" s="16">
        <f>IF(B115&gt;0,(L115-B115)/B115,"")</f>
        <v/>
      </c>
    </row>
    <row r="116">
      <c r="A116" s="13" t="inlineStr">
        <is>
          <t>עין מאהל</t>
        </is>
      </c>
      <c r="B116" s="18" t="n">
        <v>13563</v>
      </c>
      <c r="C116" s="18" t="n">
        <v>13550</v>
      </c>
      <c r="D116" s="18" t="n">
        <v>13537</v>
      </c>
      <c r="E116" s="18" t="n">
        <v>13524</v>
      </c>
      <c r="F116" s="18" t="n">
        <v>13511</v>
      </c>
      <c r="G116" s="18" t="n">
        <v>13498</v>
      </c>
      <c r="H116" s="18" t="n">
        <v>13485</v>
      </c>
      <c r="I116" s="18" t="n">
        <v>13757</v>
      </c>
      <c r="J116" s="18" t="n">
        <v>14029</v>
      </c>
      <c r="K116" s="18" t="n">
        <v>14466</v>
      </c>
      <c r="L116" s="18" t="n">
        <v>14904</v>
      </c>
      <c r="M116" s="16">
        <f>IF(B116&gt;0,(L116-B116)/B116,"")</f>
        <v/>
      </c>
    </row>
    <row r="117">
      <c r="A117" s="13" t="inlineStr">
        <is>
          <t>עכו</t>
        </is>
      </c>
      <c r="B117" s="18" t="n">
        <v>66554</v>
      </c>
      <c r="C117" s="18" t="n">
        <v>63166</v>
      </c>
      <c r="D117" s="18" t="n">
        <v>59778</v>
      </c>
      <c r="E117" s="18" t="n">
        <v>56390</v>
      </c>
      <c r="F117" s="18" t="n">
        <v>53002</v>
      </c>
      <c r="G117" s="18" t="n">
        <v>49614</v>
      </c>
      <c r="H117" s="18" t="n">
        <v>50555</v>
      </c>
      <c r="I117" s="18" t="n">
        <v>51720</v>
      </c>
      <c r="J117" s="18" t="n">
        <v>52884</v>
      </c>
      <c r="K117" s="18" t="n">
        <v>56670</v>
      </c>
      <c r="L117" s="18" t="n">
        <v>60455</v>
      </c>
      <c r="M117" s="16">
        <f>IF(B117&gt;0,(L117-B117)/B117,"")</f>
        <v/>
      </c>
    </row>
    <row r="118">
      <c r="A118" s="13" t="inlineStr">
        <is>
          <t>עספיא</t>
        </is>
      </c>
      <c r="B118" s="18" t="n">
        <v>12144</v>
      </c>
      <c r="C118" s="18" t="n">
        <v>12297</v>
      </c>
      <c r="D118" s="18" t="n">
        <v>12449</v>
      </c>
      <c r="E118" s="18" t="n">
        <v>12602</v>
      </c>
      <c r="F118" s="18" t="n">
        <v>12755</v>
      </c>
      <c r="G118" s="18" t="n">
        <v>12907</v>
      </c>
      <c r="H118" s="18" t="n">
        <v>13060</v>
      </c>
      <c r="I118" s="18" t="n">
        <v>13232</v>
      </c>
      <c r="J118" s="18" t="n">
        <v>13403</v>
      </c>
      <c r="K118" s="18" t="n">
        <v>13382</v>
      </c>
      <c r="L118" s="18" t="n">
        <v>13360</v>
      </c>
      <c r="M118" s="16">
        <f>IF(B118&gt;0,(L118-B118)/B118,"")</f>
        <v/>
      </c>
    </row>
    <row r="119">
      <c r="A119" s="13" t="inlineStr">
        <is>
          <t>עפולה</t>
        </is>
      </c>
      <c r="B119" s="18" t="n">
        <v>51032</v>
      </c>
      <c r="C119" s="18" t="n">
        <v>52641</v>
      </c>
      <c r="D119" s="18" t="n">
        <v>54250</v>
      </c>
      <c r="E119" s="18" t="n">
        <v>55858</v>
      </c>
      <c r="F119" s="18" t="n">
        <v>57466</v>
      </c>
      <c r="G119" s="18" t="n">
        <v>59075</v>
      </c>
      <c r="H119" s="18" t="n">
        <v>60828</v>
      </c>
      <c r="I119" s="18" t="n">
        <v>63595</v>
      </c>
      <c r="J119" s="18" t="n">
        <v>66362</v>
      </c>
      <c r="K119" s="18" t="n">
        <v>69223</v>
      </c>
      <c r="L119" s="18" t="n">
        <v>72084</v>
      </c>
      <c r="M119" s="16">
        <f>IF(B119&gt;0,(L119-B119)/B119,"")</f>
        <v/>
      </c>
    </row>
    <row r="120">
      <c r="A120" s="13" t="inlineStr">
        <is>
          <t>עראבה</t>
        </is>
      </c>
      <c r="B120" s="18" t="n">
        <v>26433</v>
      </c>
      <c r="C120" s="18" t="n">
        <v>26381</v>
      </c>
      <c r="D120" s="18" t="n">
        <v>26328</v>
      </c>
      <c r="E120" s="18" t="n">
        <v>26276</v>
      </c>
      <c r="F120" s="18" t="n">
        <v>26224</v>
      </c>
      <c r="G120" s="18" t="n">
        <v>26171</v>
      </c>
      <c r="H120" s="18" t="n">
        <v>26119</v>
      </c>
      <c r="I120" s="18" t="n">
        <v>26647</v>
      </c>
      <c r="J120" s="18" t="n">
        <v>27175</v>
      </c>
      <c r="K120" s="18" t="n">
        <v>28170</v>
      </c>
      <c r="L120" s="18" t="n">
        <v>29165</v>
      </c>
      <c r="M120" s="16">
        <f>IF(B120&gt;0,(L120-B120)/B120,"")</f>
        <v/>
      </c>
    </row>
    <row r="121">
      <c r="A121" s="13" t="inlineStr">
        <is>
          <t>ערד</t>
        </is>
      </c>
      <c r="B121" s="18" t="n">
        <v>34640</v>
      </c>
      <c r="C121" s="18" t="n">
        <v>33464</v>
      </c>
      <c r="D121" s="18" t="n">
        <v>32289</v>
      </c>
      <c r="E121" s="18" t="n">
        <v>31113</v>
      </c>
      <c r="F121" s="18" t="n">
        <v>29937</v>
      </c>
      <c r="G121" s="18" t="n">
        <v>28762</v>
      </c>
      <c r="H121" s="18" t="n">
        <v>27586</v>
      </c>
      <c r="I121" s="18" t="n">
        <v>28546</v>
      </c>
      <c r="J121" s="18" t="n">
        <v>29505</v>
      </c>
      <c r="K121" s="18" t="n">
        <v>32495</v>
      </c>
      <c r="L121" s="18" t="n">
        <v>35485</v>
      </c>
      <c r="M121" s="16">
        <f>IF(B121&gt;0,(L121-B121)/B121,"")</f>
        <v/>
      </c>
    </row>
    <row r="122">
      <c r="A122" s="13" t="inlineStr">
        <is>
          <t>ערערה</t>
        </is>
      </c>
      <c r="B122" s="18" t="n">
        <v>20313</v>
      </c>
      <c r="C122" s="18" t="n">
        <v>20247</v>
      </c>
      <c r="D122" s="18" t="n">
        <v>20182</v>
      </c>
      <c r="E122" s="18" t="n">
        <v>20116</v>
      </c>
      <c r="F122" s="18" t="n">
        <v>20050</v>
      </c>
      <c r="G122" s="18" t="n">
        <v>19985</v>
      </c>
      <c r="H122" s="18" t="n">
        <v>19919</v>
      </c>
      <c r="I122" s="18" t="n">
        <v>20326</v>
      </c>
      <c r="J122" s="18" t="n">
        <v>20733</v>
      </c>
      <c r="K122" s="18" t="n">
        <v>21453</v>
      </c>
      <c r="L122" s="18" t="n">
        <v>22173</v>
      </c>
      <c r="M122" s="16">
        <f>IF(B122&gt;0,(L122-B122)/B122,"")</f>
        <v/>
      </c>
    </row>
    <row r="123">
      <c r="A123" s="13" t="inlineStr">
        <is>
          <t>ערערה-בנגב</t>
        </is>
      </c>
      <c r="B123" s="18" t="n">
        <v>16089</v>
      </c>
      <c r="C123" s="18" t="n">
        <v>16665</v>
      </c>
      <c r="D123" s="18" t="n">
        <v>17240</v>
      </c>
      <c r="E123" s="18" t="n">
        <v>17816</v>
      </c>
      <c r="F123" s="18" t="n">
        <v>18392</v>
      </c>
      <c r="G123" s="18" t="n">
        <v>18967</v>
      </c>
      <c r="H123" s="18" t="n">
        <v>19543</v>
      </c>
      <c r="I123" s="18" t="n">
        <v>20401</v>
      </c>
      <c r="J123" s="18" t="n">
        <v>21259</v>
      </c>
      <c r="K123" s="18" t="n">
        <v>21806</v>
      </c>
      <c r="L123" s="18" t="n">
        <v>22354</v>
      </c>
      <c r="M123" s="16">
        <f>IF(B123&gt;0,(L123-B123)/B123,"")</f>
        <v/>
      </c>
    </row>
    <row r="124">
      <c r="A124" s="13" t="inlineStr">
        <is>
          <t>עתלית</t>
        </is>
      </c>
      <c r="B124" s="18" t="n">
        <v>5934</v>
      </c>
      <c r="C124" s="18" t="n">
        <v>6721</v>
      </c>
      <c r="D124" s="18" t="n">
        <v>7509</v>
      </c>
      <c r="E124" s="18" t="n">
        <v>8296</v>
      </c>
      <c r="F124" s="18" t="n">
        <v>9083</v>
      </c>
      <c r="G124" s="18" t="n">
        <v>9871</v>
      </c>
      <c r="H124" s="18" t="n">
        <v>10658</v>
      </c>
      <c r="I124" s="18" t="n">
        <v>11134</v>
      </c>
      <c r="J124" s="18" t="n">
        <v>11611</v>
      </c>
      <c r="K124" s="18" t="n">
        <v>11942</v>
      </c>
      <c r="L124" s="18" t="n">
        <v>12272</v>
      </c>
      <c r="M124" s="16">
        <f>IF(B124&gt;0,(L124-B124)/B124,"")</f>
        <v/>
      </c>
    </row>
    <row r="125">
      <c r="A125" s="13" t="inlineStr">
        <is>
          <t>פוריידיס</t>
        </is>
      </c>
      <c r="B125" s="18" t="n">
        <v>13500</v>
      </c>
      <c r="C125" s="18" t="n">
        <v>13435</v>
      </c>
      <c r="D125" s="18" t="n">
        <v>13369</v>
      </c>
      <c r="E125" s="18" t="n">
        <v>13304</v>
      </c>
      <c r="F125" s="18" t="n">
        <v>13239</v>
      </c>
      <c r="G125" s="18" t="n">
        <v>13173</v>
      </c>
      <c r="H125" s="18" t="n">
        <v>13108</v>
      </c>
      <c r="I125" s="18" t="n">
        <v>13328</v>
      </c>
      <c r="J125" s="18" t="n">
        <v>13548</v>
      </c>
      <c r="K125" s="18" t="n">
        <v>13917</v>
      </c>
      <c r="L125" s="18" t="n">
        <v>14286</v>
      </c>
      <c r="M125" s="16">
        <f>IF(B125&gt;0,(L125-B125)/B125,"")</f>
        <v/>
      </c>
    </row>
    <row r="126">
      <c r="A126" s="13" t="inlineStr">
        <is>
          <t>פרדס חנה-כרכור</t>
        </is>
      </c>
      <c r="B126" s="18" t="n">
        <v>44495</v>
      </c>
      <c r="C126" s="18" t="n">
        <v>44439</v>
      </c>
      <c r="D126" s="18" t="n">
        <v>44384</v>
      </c>
      <c r="E126" s="18" t="n">
        <v>44328</v>
      </c>
      <c r="F126" s="18" t="n">
        <v>44272</v>
      </c>
      <c r="G126" s="18" t="n">
        <v>44217</v>
      </c>
      <c r="H126" s="18" t="n">
        <v>44161</v>
      </c>
      <c r="I126" s="18" t="n">
        <v>45381</v>
      </c>
      <c r="J126" s="18" t="n">
        <v>46601</v>
      </c>
      <c r="K126" s="18" t="n">
        <v>48724</v>
      </c>
      <c r="L126" s="18" t="n">
        <v>50848</v>
      </c>
      <c r="M126" s="16">
        <f>IF(B126&gt;0,(L126-B126)/B126,"")</f>
        <v/>
      </c>
    </row>
    <row r="127">
      <c r="A127" s="13" t="inlineStr">
        <is>
          <t>פרדסייה</t>
        </is>
      </c>
      <c r="B127" s="18" t="n">
        <v>7056</v>
      </c>
      <c r="C127" s="18" t="n">
        <v>7170</v>
      </c>
      <c r="D127" s="18" t="n">
        <v>7285</v>
      </c>
      <c r="E127" s="18" t="n">
        <v>7400</v>
      </c>
      <c r="F127" s="18" t="n">
        <v>7514</v>
      </c>
      <c r="G127" s="18" t="n">
        <v>7628</v>
      </c>
      <c r="H127" s="18" t="n">
        <v>7743</v>
      </c>
      <c r="I127" s="18" t="n">
        <v>7858</v>
      </c>
      <c r="J127" s="18" t="n">
        <v>7972</v>
      </c>
      <c r="K127" s="18" t="n">
        <v>7972</v>
      </c>
      <c r="L127" s="18" t="n">
        <v>7972</v>
      </c>
      <c r="M127" s="16">
        <f>IF(B127&gt;0,(L127-B127)/B127,"")</f>
        <v/>
      </c>
    </row>
    <row r="128">
      <c r="A128" s="13" t="inlineStr">
        <is>
          <t>פתח תקווה</t>
        </is>
      </c>
      <c r="B128" s="18" t="n">
        <v>292238</v>
      </c>
      <c r="C128" s="18" t="n">
        <v>284244</v>
      </c>
      <c r="D128" s="18" t="n">
        <v>276250</v>
      </c>
      <c r="E128" s="18" t="n">
        <v>268257</v>
      </c>
      <c r="F128" s="18" t="n">
        <v>260264</v>
      </c>
      <c r="G128" s="18" t="n">
        <v>252270</v>
      </c>
      <c r="H128" s="18" t="n">
        <v>264046</v>
      </c>
      <c r="I128" s="18" t="n">
        <v>267224</v>
      </c>
      <c r="J128" s="18" t="n">
        <v>270403</v>
      </c>
      <c r="K128" s="18" t="n">
        <v>276878</v>
      </c>
      <c r="L128" s="18" t="n">
        <v>283354</v>
      </c>
      <c r="M128" s="16">
        <f>IF(B128&gt;0,(L128-B128)/B128,"")</f>
        <v/>
      </c>
    </row>
    <row r="129">
      <c r="A129" s="13" t="inlineStr">
        <is>
          <t>צור הדסה</t>
        </is>
      </c>
      <c r="B129" s="18" t="n">
        <v>7531</v>
      </c>
      <c r="C129" s="18" t="n">
        <v>8011</v>
      </c>
      <c r="D129" s="18" t="n">
        <v>8490</v>
      </c>
      <c r="E129" s="18" t="n">
        <v>8970</v>
      </c>
      <c r="F129" s="18" t="n">
        <v>9450</v>
      </c>
      <c r="G129" s="18" t="n">
        <v>9929</v>
      </c>
      <c r="H129" s="18" t="n">
        <v>10409</v>
      </c>
      <c r="I129" s="18" t="n">
        <v>10434</v>
      </c>
      <c r="J129" s="18" t="n">
        <v>10458</v>
      </c>
      <c r="K129" s="18" t="n">
        <v>10708</v>
      </c>
      <c r="L129" s="18" t="n">
        <v>10958</v>
      </c>
      <c r="M129" s="16">
        <f>IF(B129&gt;0,(L129-B129)/B129,"")</f>
        <v/>
      </c>
    </row>
    <row r="130">
      <c r="A130" s="13" t="inlineStr">
        <is>
          <t>צור יצחק</t>
        </is>
      </c>
      <c r="B130" s="18" t="n">
        <v>5065</v>
      </c>
      <c r="C130" s="18" t="n">
        <v>5438</v>
      </c>
      <c r="D130" s="18" t="n">
        <v>5811</v>
      </c>
      <c r="E130" s="18" t="n">
        <v>6184</v>
      </c>
      <c r="F130" s="18" t="n">
        <v>6557</v>
      </c>
      <c r="G130" s="18" t="n">
        <v>6930</v>
      </c>
      <c r="H130" s="18" t="n">
        <v>7303</v>
      </c>
      <c r="I130" s="18" t="n">
        <v>7542</v>
      </c>
      <c r="J130" s="18" t="n">
        <v>7780</v>
      </c>
      <c r="K130" s="18" t="n">
        <v>7818</v>
      </c>
      <c r="L130" s="18" t="n">
        <v>7855</v>
      </c>
      <c r="M130" s="16">
        <f>IF(B130&gt;0,(L130-B130)/B130,"")</f>
        <v/>
      </c>
    </row>
    <row r="131">
      <c r="A131" s="13" t="inlineStr">
        <is>
          <t>צפת</t>
        </is>
      </c>
      <c r="B131" s="18" t="n">
        <v>39523</v>
      </c>
      <c r="C131" s="18" t="n">
        <v>39236</v>
      </c>
      <c r="D131" s="18" t="n">
        <v>38949</v>
      </c>
      <c r="E131" s="18" t="n">
        <v>38662</v>
      </c>
      <c r="F131" s="18" t="n">
        <v>38375</v>
      </c>
      <c r="G131" s="18" t="n">
        <v>38088</v>
      </c>
      <c r="H131" s="18" t="n">
        <v>37801</v>
      </c>
      <c r="I131" s="18" t="n">
        <v>38244</v>
      </c>
      <c r="J131" s="18" t="n">
        <v>38687</v>
      </c>
      <c r="K131" s="18" t="n">
        <v>40276</v>
      </c>
      <c r="L131" s="18" t="n">
        <v>41866</v>
      </c>
      <c r="M131" s="16">
        <f>IF(B131&gt;0,(L131-B131)/B131,"")</f>
        <v/>
      </c>
    </row>
    <row r="132">
      <c r="A132" s="13" t="inlineStr">
        <is>
          <t>קדימה-צורן</t>
        </is>
      </c>
      <c r="B132" s="18" t="n">
        <v>23335</v>
      </c>
      <c r="C132" s="18" t="n">
        <v>23138</v>
      </c>
      <c r="D132" s="18" t="n">
        <v>22941</v>
      </c>
      <c r="E132" s="18" t="n">
        <v>22744</v>
      </c>
      <c r="F132" s="18" t="n">
        <v>22547</v>
      </c>
      <c r="G132" s="18" t="n">
        <v>22350</v>
      </c>
      <c r="H132" s="18" t="n">
        <v>22153</v>
      </c>
      <c r="I132" s="18" t="n">
        <v>22404</v>
      </c>
      <c r="J132" s="18" t="n">
        <v>22655</v>
      </c>
      <c r="K132" s="18" t="n">
        <v>23268</v>
      </c>
      <c r="L132" s="18" t="n">
        <v>23882</v>
      </c>
      <c r="M132" s="16">
        <f>IF(B132&gt;0,(L132-B132)/B132,"")</f>
        <v/>
      </c>
    </row>
    <row r="133">
      <c r="A133" s="13" t="inlineStr">
        <is>
          <t>קלנסווה</t>
        </is>
      </c>
      <c r="B133" s="18" t="n">
        <v>22589</v>
      </c>
      <c r="C133" s="18" t="n">
        <v>22816</v>
      </c>
      <c r="D133" s="18" t="n">
        <v>23043</v>
      </c>
      <c r="E133" s="18" t="n">
        <v>23270</v>
      </c>
      <c r="F133" s="18" t="n">
        <v>23497</v>
      </c>
      <c r="G133" s="18" t="n">
        <v>23724</v>
      </c>
      <c r="H133" s="18" t="n">
        <v>23951</v>
      </c>
      <c r="I133" s="18" t="n">
        <v>24559</v>
      </c>
      <c r="J133" s="18" t="n">
        <v>25167</v>
      </c>
      <c r="K133" s="18" t="n">
        <v>25434</v>
      </c>
      <c r="L133" s="18" t="n">
        <v>25701</v>
      </c>
      <c r="M133" s="16">
        <f>IF(B133&gt;0,(L133-B133)/B133,"")</f>
        <v/>
      </c>
    </row>
    <row r="134">
      <c r="A134" s="13" t="inlineStr">
        <is>
          <t>קצרין</t>
        </is>
      </c>
      <c r="B134" s="18" t="n">
        <v>9346</v>
      </c>
      <c r="C134" s="18" t="n">
        <v>8998</v>
      </c>
      <c r="D134" s="18" t="n">
        <v>8650</v>
      </c>
      <c r="E134" s="18" t="n">
        <v>8302</v>
      </c>
      <c r="F134" s="18" t="n">
        <v>7954</v>
      </c>
      <c r="G134" s="18" t="n">
        <v>7606</v>
      </c>
      <c r="H134" s="18" t="n">
        <v>7633</v>
      </c>
      <c r="I134" s="18" t="n">
        <v>7822</v>
      </c>
      <c r="J134" s="18" t="n">
        <v>8012</v>
      </c>
      <c r="K134" s="18" t="n">
        <v>8784</v>
      </c>
      <c r="L134" s="18" t="n">
        <v>9557</v>
      </c>
      <c r="M134" s="16">
        <f>IF(B134&gt;0,(L134-B134)/B134,"")</f>
        <v/>
      </c>
    </row>
    <row r="135">
      <c r="A135" s="13" t="inlineStr">
        <is>
          <t>קריית אונו</t>
        </is>
      </c>
      <c r="B135" s="18" t="n">
        <v>31004</v>
      </c>
      <c r="C135" s="18" t="n">
        <v>32760</v>
      </c>
      <c r="D135" s="18" t="n">
        <v>34515</v>
      </c>
      <c r="E135" s="18" t="n">
        <v>36270</v>
      </c>
      <c r="F135" s="18" t="n">
        <v>38026</v>
      </c>
      <c r="G135" s="18" t="n">
        <v>39782</v>
      </c>
      <c r="H135" s="18" t="n">
        <v>41537</v>
      </c>
      <c r="I135" s="18" t="n">
        <v>43292</v>
      </c>
      <c r="J135" s="18" t="n">
        <v>45048</v>
      </c>
      <c r="K135" s="18" t="n">
        <v>45048</v>
      </c>
      <c r="L135" s="18" t="n">
        <v>45048</v>
      </c>
      <c r="M135" s="16">
        <f>IF(B135&gt;0,(L135-B135)/B135,"")</f>
        <v/>
      </c>
    </row>
    <row r="136">
      <c r="A136" s="13" t="inlineStr">
        <is>
          <t>קריית ארבע</t>
        </is>
      </c>
      <c r="B136" s="18" t="n">
        <v>7442</v>
      </c>
      <c r="C136" s="18" t="n">
        <v>7442</v>
      </c>
      <c r="D136" s="18" t="n">
        <v>7442</v>
      </c>
      <c r="E136" s="18" t="n">
        <v>7442</v>
      </c>
      <c r="F136" s="18" t="n">
        <v>7442</v>
      </c>
      <c r="G136" s="18" t="n">
        <v>7442</v>
      </c>
      <c r="H136" s="18" t="n">
        <v>7442</v>
      </c>
      <c r="I136" s="18" t="n">
        <v>7442</v>
      </c>
      <c r="J136" s="18" t="n">
        <v>7442</v>
      </c>
      <c r="K136" s="18" t="n">
        <v>7442</v>
      </c>
      <c r="L136" s="18" t="n">
        <v>7442</v>
      </c>
      <c r="M136" s="16">
        <f>IF(B136&gt;0,(L136-B136)/B136,"")</f>
        <v/>
      </c>
    </row>
    <row r="137">
      <c r="A137" s="13" t="inlineStr">
        <is>
          <t>קריית אתא</t>
        </is>
      </c>
      <c r="B137" s="18" t="n">
        <v>58287</v>
      </c>
      <c r="C137" s="18" t="n">
        <v>58650</v>
      </c>
      <c r="D137" s="18" t="n">
        <v>59013</v>
      </c>
      <c r="E137" s="18" t="n">
        <v>59376</v>
      </c>
      <c r="F137" s="18" t="n">
        <v>59739</v>
      </c>
      <c r="G137" s="18" t="n">
        <v>60102</v>
      </c>
      <c r="H137" s="18" t="n">
        <v>60465</v>
      </c>
      <c r="I137" s="18" t="n">
        <v>61524</v>
      </c>
      <c r="J137" s="18" t="n">
        <v>62584</v>
      </c>
      <c r="K137" s="18" t="n">
        <v>62292</v>
      </c>
      <c r="L137" s="18" t="n">
        <v>62000</v>
      </c>
      <c r="M137" s="16">
        <f>IF(B137&gt;0,(L137-B137)/B137,"")</f>
        <v/>
      </c>
    </row>
    <row r="138">
      <c r="A138" s="13" t="inlineStr">
        <is>
          <t>קריית ביאליק</t>
        </is>
      </c>
      <c r="B138" s="18" t="n">
        <v>35572</v>
      </c>
      <c r="C138" s="18" t="n">
        <v>37111</v>
      </c>
      <c r="D138" s="18" t="n">
        <v>38650</v>
      </c>
      <c r="E138" s="18" t="n">
        <v>40189</v>
      </c>
      <c r="F138" s="18" t="n">
        <v>41728</v>
      </c>
      <c r="G138" s="18" t="n">
        <v>43267</v>
      </c>
      <c r="H138" s="18" t="n">
        <v>44806</v>
      </c>
      <c r="I138" s="18" t="n">
        <v>45939</v>
      </c>
      <c r="J138" s="18" t="n">
        <v>47072</v>
      </c>
      <c r="K138" s="18" t="n">
        <v>47768</v>
      </c>
      <c r="L138" s="18" t="n">
        <v>48465</v>
      </c>
      <c r="M138" s="16">
        <f>IF(B138&gt;0,(L138-B138)/B138,"")</f>
        <v/>
      </c>
    </row>
    <row r="139">
      <c r="A139" s="13" t="inlineStr">
        <is>
          <t>קריית גת</t>
        </is>
      </c>
      <c r="B139" s="18" t="n">
        <v>46562</v>
      </c>
      <c r="C139" s="18" t="n">
        <v>49366</v>
      </c>
      <c r="D139" s="18" t="n">
        <v>52170</v>
      </c>
      <c r="E139" s="18" t="n">
        <v>54974</v>
      </c>
      <c r="F139" s="18" t="n">
        <v>57778</v>
      </c>
      <c r="G139" s="18" t="n">
        <v>60582</v>
      </c>
      <c r="H139" s="18" t="n">
        <v>63386</v>
      </c>
      <c r="I139" s="18" t="n">
        <v>67762</v>
      </c>
      <c r="J139" s="18" t="n">
        <v>72139</v>
      </c>
      <c r="K139" s="18" t="n">
        <v>73270</v>
      </c>
      <c r="L139" s="18" t="n">
        <v>74400</v>
      </c>
      <c r="M139" s="16">
        <f>IF(B139&gt;0,(L139-B139)/B139,"")</f>
        <v/>
      </c>
    </row>
    <row r="140">
      <c r="A140" s="13" t="inlineStr">
        <is>
          <t>קריית טבעון</t>
        </is>
      </c>
      <c r="B140" s="18" t="n">
        <v>14305</v>
      </c>
      <c r="C140" s="18" t="n">
        <v>14912</v>
      </c>
      <c r="D140" s="18" t="n">
        <v>15518</v>
      </c>
      <c r="E140" s="18" t="n">
        <v>16124</v>
      </c>
      <c r="F140" s="18" t="n">
        <v>16731</v>
      </c>
      <c r="G140" s="18" t="n">
        <v>17338</v>
      </c>
      <c r="H140" s="18" t="n">
        <v>17944</v>
      </c>
      <c r="I140" s="18" t="n">
        <v>18550</v>
      </c>
      <c r="J140" s="18" t="n">
        <v>19157</v>
      </c>
      <c r="K140" s="18" t="n">
        <v>19157</v>
      </c>
      <c r="L140" s="18" t="n">
        <v>19157</v>
      </c>
      <c r="M140" s="16">
        <f>IF(B140&gt;0,(L140-B140)/B140,"")</f>
        <v/>
      </c>
    </row>
    <row r="141">
      <c r="A141" s="13" t="inlineStr">
        <is>
          <t>קריית ים</t>
        </is>
      </c>
      <c r="B141" s="18" t="n">
        <v>29747</v>
      </c>
      <c r="C141" s="18" t="n">
        <v>31274</v>
      </c>
      <c r="D141" s="18" t="n">
        <v>32800</v>
      </c>
      <c r="E141" s="18" t="n">
        <v>34326</v>
      </c>
      <c r="F141" s="18" t="n">
        <v>35853</v>
      </c>
      <c r="G141" s="18" t="n">
        <v>37380</v>
      </c>
      <c r="H141" s="18" t="n">
        <v>38906</v>
      </c>
      <c r="I141" s="18" t="n">
        <v>40432</v>
      </c>
      <c r="J141" s="18" t="n">
        <v>41959</v>
      </c>
      <c r="K141" s="18" t="n">
        <v>41959</v>
      </c>
      <c r="L141" s="18" t="n">
        <v>41959</v>
      </c>
      <c r="M141" s="16">
        <f>IF(B141&gt;0,(L141-B141)/B141,"")</f>
        <v/>
      </c>
    </row>
    <row r="142">
      <c r="A142" s="13" t="inlineStr">
        <is>
          <t>קריית יערים</t>
        </is>
      </c>
      <c r="B142" s="18" t="n">
        <v>5127</v>
      </c>
      <c r="C142" s="18" t="n">
        <v>5466</v>
      </c>
      <c r="D142" s="18" t="n">
        <v>5805</v>
      </c>
      <c r="E142" s="18" t="n">
        <v>6144</v>
      </c>
      <c r="F142" s="18" t="n">
        <v>6483</v>
      </c>
      <c r="G142" s="18" t="n">
        <v>6822</v>
      </c>
      <c r="H142" s="18" t="n">
        <v>7161</v>
      </c>
      <c r="I142" s="18" t="n">
        <v>7500</v>
      </c>
      <c r="J142" s="18" t="n">
        <v>7839</v>
      </c>
      <c r="K142" s="18" t="n">
        <v>7839</v>
      </c>
      <c r="L142" s="18" t="n">
        <v>7839</v>
      </c>
      <c r="M142" s="16">
        <f>IF(B142&gt;0,(L142-B142)/B142,"")</f>
        <v/>
      </c>
    </row>
    <row r="143">
      <c r="A143" s="13" t="inlineStr">
        <is>
          <t>קריית מוצקין</t>
        </is>
      </c>
      <c r="B143" s="18" t="n">
        <v>41764</v>
      </c>
      <c r="C143" s="18" t="n">
        <v>42980</v>
      </c>
      <c r="D143" s="18" t="n">
        <v>44195</v>
      </c>
      <c r="E143" s="18" t="n">
        <v>45410</v>
      </c>
      <c r="F143" s="18" t="n">
        <v>46626</v>
      </c>
      <c r="G143" s="18" t="n">
        <v>47842</v>
      </c>
      <c r="H143" s="18" t="n">
        <v>49057</v>
      </c>
      <c r="I143" s="18" t="n">
        <v>50272</v>
      </c>
      <c r="J143" s="18" t="n">
        <v>51488</v>
      </c>
      <c r="K143" s="18" t="n">
        <v>51488</v>
      </c>
      <c r="L143" s="18" t="n">
        <v>51488</v>
      </c>
      <c r="M143" s="16">
        <f>IF(B143&gt;0,(L143-B143)/B143,"")</f>
        <v/>
      </c>
    </row>
    <row r="144">
      <c r="A144" s="13" t="inlineStr">
        <is>
          <t>קריית מלאכי</t>
        </is>
      </c>
      <c r="B144" s="18" t="n">
        <v>21577</v>
      </c>
      <c r="C144" s="18" t="n">
        <v>22374</v>
      </c>
      <c r="D144" s="18" t="n">
        <v>23172</v>
      </c>
      <c r="E144" s="18" t="n">
        <v>23970</v>
      </c>
      <c r="F144" s="18" t="n">
        <v>24767</v>
      </c>
      <c r="G144" s="18" t="n">
        <v>25564</v>
      </c>
      <c r="H144" s="18" t="n">
        <v>26362</v>
      </c>
      <c r="I144" s="18" t="n">
        <v>27160</v>
      </c>
      <c r="J144" s="18" t="n">
        <v>27957</v>
      </c>
      <c r="K144" s="18" t="n">
        <v>27957</v>
      </c>
      <c r="L144" s="18" t="n">
        <v>27957</v>
      </c>
      <c r="M144" s="16">
        <f>IF(B144&gt;0,(L144-B144)/B144,"")</f>
        <v/>
      </c>
    </row>
    <row r="145">
      <c r="A145" s="13" t="inlineStr">
        <is>
          <t>קריית עקרון</t>
        </is>
      </c>
      <c r="B145" s="18" t="n">
        <v>11851</v>
      </c>
      <c r="C145" s="18" t="n">
        <v>11780</v>
      </c>
      <c r="D145" s="18" t="n">
        <v>11709</v>
      </c>
      <c r="E145" s="18" t="n">
        <v>11638</v>
      </c>
      <c r="F145" s="18" t="n">
        <v>11567</v>
      </c>
      <c r="G145" s="18" t="n">
        <v>11496</v>
      </c>
      <c r="H145" s="18" t="n">
        <v>11425</v>
      </c>
      <c r="I145" s="18" t="n">
        <v>11354</v>
      </c>
      <c r="J145" s="18" t="n">
        <v>11283</v>
      </c>
      <c r="K145" s="18" t="n">
        <v>11283</v>
      </c>
      <c r="L145" s="18" t="n">
        <v>11283</v>
      </c>
      <c r="M145" s="16">
        <f>IF(B145&gt;0,(L145-B145)/B145,"")</f>
        <v/>
      </c>
    </row>
    <row r="146">
      <c r="A146" s="13" t="inlineStr">
        <is>
          <t>קריית שמונה</t>
        </is>
      </c>
      <c r="B146" s="18" t="n">
        <v>19021</v>
      </c>
      <c r="C146" s="18" t="n">
        <v>19698</v>
      </c>
      <c r="D146" s="18" t="n">
        <v>20375</v>
      </c>
      <c r="E146" s="18" t="n">
        <v>21052</v>
      </c>
      <c r="F146" s="18" t="n">
        <v>21729</v>
      </c>
      <c r="G146" s="18" t="n">
        <v>22406</v>
      </c>
      <c r="H146" s="18" t="n">
        <v>23083</v>
      </c>
      <c r="I146" s="18" t="n">
        <v>23760</v>
      </c>
      <c r="J146" s="18" t="n">
        <v>24437</v>
      </c>
      <c r="K146" s="18" t="n">
        <v>24437</v>
      </c>
      <c r="L146" s="18" t="n">
        <v>24437</v>
      </c>
      <c r="M146" s="16">
        <f>IF(B146&gt;0,(L146-B146)/B146,"")</f>
        <v/>
      </c>
    </row>
    <row r="147">
      <c r="A147" s="13" t="inlineStr">
        <is>
          <t>קרני שומרון</t>
        </is>
      </c>
      <c r="B147" s="18" t="n">
        <v>6764</v>
      </c>
      <c r="C147" s="18" t="n">
        <v>7320</v>
      </c>
      <c r="D147" s="18" t="n">
        <v>7877</v>
      </c>
      <c r="E147" s="18" t="n">
        <v>8433</v>
      </c>
      <c r="F147" s="18" t="n">
        <v>8989</v>
      </c>
      <c r="G147" s="18" t="n">
        <v>9546</v>
      </c>
      <c r="H147" s="18" t="n">
        <v>10102</v>
      </c>
      <c r="I147" s="18" t="n">
        <v>10384</v>
      </c>
      <c r="J147" s="18" t="n">
        <v>10667</v>
      </c>
      <c r="K147" s="18" t="n">
        <v>10950</v>
      </c>
      <c r="L147" s="18" t="n">
        <v>11232</v>
      </c>
      <c r="M147" s="16">
        <f>IF(B147&gt;0,(L147-B147)/B147,"")</f>
        <v/>
      </c>
    </row>
    <row r="148">
      <c r="A148" s="13" t="inlineStr">
        <is>
          <t>ראמה</t>
        </is>
      </c>
      <c r="B148" s="18" t="n">
        <v>8924</v>
      </c>
      <c r="C148" s="18" t="n">
        <v>8849</v>
      </c>
      <c r="D148" s="18" t="n">
        <v>8773</v>
      </c>
      <c r="E148" s="18" t="n">
        <v>8698</v>
      </c>
      <c r="F148" s="18" t="n">
        <v>8623</v>
      </c>
      <c r="G148" s="18" t="n">
        <v>8547</v>
      </c>
      <c r="H148" s="18" t="n">
        <v>8472</v>
      </c>
      <c r="I148" s="18" t="n">
        <v>8439</v>
      </c>
      <c r="J148" s="18" t="n">
        <v>8406</v>
      </c>
      <c r="K148" s="18" t="n">
        <v>8562</v>
      </c>
      <c r="L148" s="18" t="n">
        <v>8718</v>
      </c>
      <c r="M148" s="16">
        <f>IF(B148&gt;0,(L148-B148)/B148,"")</f>
        <v/>
      </c>
    </row>
    <row r="149">
      <c r="A149" s="13" t="inlineStr">
        <is>
          <t>ראש העין</t>
        </is>
      </c>
      <c r="B149" s="18" t="n">
        <v>42760</v>
      </c>
      <c r="C149" s="18" t="n">
        <v>48062</v>
      </c>
      <c r="D149" s="18" t="n">
        <v>53364</v>
      </c>
      <c r="E149" s="18" t="n">
        <v>58666</v>
      </c>
      <c r="F149" s="18" t="n">
        <v>63968</v>
      </c>
      <c r="G149" s="18" t="n">
        <v>69270</v>
      </c>
      <c r="H149" s="18" t="n">
        <v>74572</v>
      </c>
      <c r="I149" s="18" t="n">
        <v>76798</v>
      </c>
      <c r="J149" s="18" t="n">
        <v>79023</v>
      </c>
      <c r="K149" s="18" t="n">
        <v>79866</v>
      </c>
      <c r="L149" s="18" t="n">
        <v>80710</v>
      </c>
      <c r="M149" s="16">
        <f>IF(B149&gt;0,(L149-B149)/B149,"")</f>
        <v/>
      </c>
    </row>
    <row r="150">
      <c r="A150" s="13" t="inlineStr">
        <is>
          <t>ראשון לציון</t>
        </is>
      </c>
      <c r="B150" s="18" t="n">
        <v>287313</v>
      </c>
      <c r="C150" s="18" t="n">
        <v>281276</v>
      </c>
      <c r="D150" s="18" t="n">
        <v>275239</v>
      </c>
      <c r="E150" s="18" t="n">
        <v>269202</v>
      </c>
      <c r="F150" s="18" t="n">
        <v>263165</v>
      </c>
      <c r="G150" s="18" t="n">
        <v>257128</v>
      </c>
      <c r="H150" s="18" t="n">
        <v>252413</v>
      </c>
      <c r="I150" s="18" t="n">
        <v>255844</v>
      </c>
      <c r="J150" s="18" t="n">
        <v>259275</v>
      </c>
      <c r="K150" s="18" t="n">
        <v>273816</v>
      </c>
      <c r="L150" s="18" t="n">
        <v>288356</v>
      </c>
      <c r="M150" s="16">
        <f>IF(B150&gt;0,(L150-B150)/B150,"")</f>
        <v/>
      </c>
    </row>
    <row r="151">
      <c r="A151" s="13" t="inlineStr">
        <is>
          <t>רהט</t>
        </is>
      </c>
      <c r="B151" s="18" t="n">
        <v>60175</v>
      </c>
      <c r="C151" s="18" t="n">
        <v>62038</v>
      </c>
      <c r="D151" s="18" t="n">
        <v>63902</v>
      </c>
      <c r="E151" s="18" t="n">
        <v>65765</v>
      </c>
      <c r="F151" s="18" t="n">
        <v>67628</v>
      </c>
      <c r="G151" s="18" t="n">
        <v>69492</v>
      </c>
      <c r="H151" s="18" t="n">
        <v>71355</v>
      </c>
      <c r="I151" s="18" t="n">
        <v>74676</v>
      </c>
      <c r="J151" s="18" t="n">
        <v>77996</v>
      </c>
      <c r="K151" s="18" t="n">
        <v>80461</v>
      </c>
      <c r="L151" s="18" t="n">
        <v>82926</v>
      </c>
      <c r="M151" s="16">
        <f>IF(B151&gt;0,(L151-B151)/B151,"")</f>
        <v/>
      </c>
    </row>
    <row r="152">
      <c r="A152" s="13" t="inlineStr">
        <is>
          <t>רחובות</t>
        </is>
      </c>
      <c r="B152" s="18" t="n">
        <v>154441</v>
      </c>
      <c r="C152" s="18" t="n">
        <v>153779</v>
      </c>
      <c r="D152" s="18" t="n">
        <v>153118</v>
      </c>
      <c r="E152" s="18" t="n">
        <v>152456</v>
      </c>
      <c r="F152" s="18" t="n">
        <v>151794</v>
      </c>
      <c r="G152" s="18" t="n">
        <v>151133</v>
      </c>
      <c r="H152" s="18" t="n">
        <v>150471</v>
      </c>
      <c r="I152" s="18" t="n">
        <v>152760</v>
      </c>
      <c r="J152" s="18" t="n">
        <v>155050</v>
      </c>
      <c r="K152" s="18" t="n">
        <v>160972</v>
      </c>
      <c r="L152" s="18" t="n">
        <v>166894</v>
      </c>
      <c r="M152" s="16">
        <f>IF(B152&gt;0,(L152-B152)/B152,"")</f>
        <v/>
      </c>
    </row>
    <row r="153">
      <c r="A153" s="13" t="inlineStr">
        <is>
          <t>ריינה</t>
        </is>
      </c>
      <c r="B153" s="18" t="n">
        <v>16644</v>
      </c>
      <c r="C153" s="18" t="n">
        <v>16711</v>
      </c>
      <c r="D153" s="18" t="n">
        <v>16778</v>
      </c>
      <c r="E153" s="18" t="n">
        <v>16845</v>
      </c>
      <c r="F153" s="18" t="n">
        <v>16912</v>
      </c>
      <c r="G153" s="18" t="n">
        <v>16979</v>
      </c>
      <c r="H153" s="18" t="n">
        <v>17046</v>
      </c>
      <c r="I153" s="18" t="n">
        <v>18850</v>
      </c>
      <c r="J153" s="18" t="n">
        <v>20654</v>
      </c>
      <c r="K153" s="18" t="n">
        <v>19284</v>
      </c>
      <c r="L153" s="18" t="n">
        <v>17913</v>
      </c>
      <c r="M153" s="16">
        <f>IF(B153&gt;0,(L153-B153)/B153,"")</f>
        <v/>
      </c>
    </row>
    <row r="154">
      <c r="A154" s="13" t="inlineStr">
        <is>
          <t>רכסים</t>
        </is>
      </c>
      <c r="B154" s="18" t="n">
        <v>10408</v>
      </c>
      <c r="C154" s="18" t="n">
        <v>10992</v>
      </c>
      <c r="D154" s="18" t="n">
        <v>11575</v>
      </c>
      <c r="E154" s="18" t="n">
        <v>12159</v>
      </c>
      <c r="F154" s="18" t="n">
        <v>12743</v>
      </c>
      <c r="G154" s="18" t="n">
        <v>13326</v>
      </c>
      <c r="H154" s="18" t="n">
        <v>13910</v>
      </c>
      <c r="I154" s="18" t="n">
        <v>14498</v>
      </c>
      <c r="J154" s="18" t="n">
        <v>15087</v>
      </c>
      <c r="K154" s="18" t="n">
        <v>15363</v>
      </c>
      <c r="L154" s="18" t="n">
        <v>15639</v>
      </c>
      <c r="M154" s="16">
        <f>IF(B154&gt;0,(L154-B154)/B154,"")</f>
        <v/>
      </c>
    </row>
    <row r="155">
      <c r="A155" s="13" t="inlineStr">
        <is>
          <t>רמלה</t>
        </is>
      </c>
      <c r="B155" s="18" t="n">
        <v>81392</v>
      </c>
      <c r="C155" s="18" t="n">
        <v>81348</v>
      </c>
      <c r="D155" s="18" t="n">
        <v>81303</v>
      </c>
      <c r="E155" s="18" t="n">
        <v>81259</v>
      </c>
      <c r="F155" s="18" t="n">
        <v>81215</v>
      </c>
      <c r="G155" s="18" t="n">
        <v>81170</v>
      </c>
      <c r="H155" s="18" t="n">
        <v>81126</v>
      </c>
      <c r="I155" s="18" t="n">
        <v>83589</v>
      </c>
      <c r="J155" s="18" t="n">
        <v>86052</v>
      </c>
      <c r="K155" s="18" t="n">
        <v>87584</v>
      </c>
      <c r="L155" s="18" t="n">
        <v>89116</v>
      </c>
      <c r="M155" s="16">
        <f>IF(B155&gt;0,(L155-B155)/B155,"")</f>
        <v/>
      </c>
    </row>
    <row r="156">
      <c r="A156" s="13" t="inlineStr">
        <is>
          <t>רמת גן</t>
        </is>
      </c>
      <c r="B156" s="18" t="n">
        <v>163756</v>
      </c>
      <c r="C156" s="18" t="n">
        <v>164946</v>
      </c>
      <c r="D156" s="18" t="n">
        <v>166136</v>
      </c>
      <c r="E156" s="18" t="n">
        <v>167326</v>
      </c>
      <c r="F156" s="18" t="n">
        <v>168516</v>
      </c>
      <c r="G156" s="18" t="n">
        <v>169706</v>
      </c>
      <c r="H156" s="18" t="n">
        <v>165155</v>
      </c>
      <c r="I156" s="18" t="n">
        <v>168698</v>
      </c>
      <c r="J156" s="18" t="n">
        <v>172242</v>
      </c>
      <c r="K156" s="18" t="n">
        <v>181066</v>
      </c>
      <c r="L156" s="18" t="n">
        <v>189890</v>
      </c>
      <c r="M156" s="16">
        <f>IF(B156&gt;0,(L156-B156)/B156,"")</f>
        <v/>
      </c>
    </row>
    <row r="157">
      <c r="A157" s="13" t="inlineStr">
        <is>
          <t>רמת השרון</t>
        </is>
      </c>
      <c r="B157" s="18" t="n">
        <v>56072</v>
      </c>
      <c r="C157" s="18" t="n">
        <v>54452</v>
      </c>
      <c r="D157" s="18" t="n">
        <v>52832</v>
      </c>
      <c r="E157" s="18" t="n">
        <v>51211</v>
      </c>
      <c r="F157" s="18" t="n">
        <v>49590</v>
      </c>
      <c r="G157" s="18" t="n">
        <v>47970</v>
      </c>
      <c r="H157" s="18" t="n">
        <v>48986</v>
      </c>
      <c r="I157" s="18" t="n">
        <v>48923</v>
      </c>
      <c r="J157" s="18" t="n">
        <v>48860</v>
      </c>
      <c r="K157" s="18" t="n">
        <v>51337</v>
      </c>
      <c r="L157" s="18" t="n">
        <v>53814</v>
      </c>
      <c r="M157" s="16">
        <f>IF(B157&gt;0,(L157-B157)/B157,"")</f>
        <v/>
      </c>
    </row>
    <row r="158">
      <c r="A158" s="13" t="inlineStr">
        <is>
          <t>רמת ישי</t>
        </is>
      </c>
      <c r="B158" s="18" t="n">
        <v>7858</v>
      </c>
      <c r="C158" s="18" t="n">
        <v>7862</v>
      </c>
      <c r="D158" s="18" t="n">
        <v>7865</v>
      </c>
      <c r="E158" s="18" t="n">
        <v>7869</v>
      </c>
      <c r="F158" s="18" t="n">
        <v>7873</v>
      </c>
      <c r="G158" s="18" t="n">
        <v>7876</v>
      </c>
      <c r="H158" s="18" t="n">
        <v>7880</v>
      </c>
      <c r="I158" s="18" t="n">
        <v>7916</v>
      </c>
      <c r="J158" s="18" t="n">
        <v>7953</v>
      </c>
      <c r="K158" s="18" t="n">
        <v>8270</v>
      </c>
      <c r="L158" s="18" t="n">
        <v>8587</v>
      </c>
      <c r="M158" s="16">
        <f>IF(B158&gt;0,(L158-B158)/B158,"")</f>
        <v/>
      </c>
    </row>
    <row r="159">
      <c r="A159" s="13" t="inlineStr">
        <is>
          <t>רעננה</t>
        </is>
      </c>
      <c r="B159" s="18" t="n">
        <v>103852</v>
      </c>
      <c r="C159" s="18" t="n">
        <v>98794</v>
      </c>
      <c r="D159" s="18" t="n">
        <v>93736</v>
      </c>
      <c r="E159" s="18" t="n">
        <v>88678</v>
      </c>
      <c r="F159" s="18" t="n">
        <v>83620</v>
      </c>
      <c r="G159" s="18" t="n">
        <v>78562</v>
      </c>
      <c r="H159" s="18" t="n">
        <v>80155</v>
      </c>
      <c r="I159" s="18" t="n">
        <v>81559</v>
      </c>
      <c r="J159" s="18" t="n">
        <v>82963</v>
      </c>
      <c r="K159" s="18" t="n">
        <v>91763</v>
      </c>
      <c r="L159" s="18" t="n">
        <v>100563</v>
      </c>
      <c r="M159" s="16">
        <f>IF(B159&gt;0,(L159-B159)/B159,"")</f>
        <v/>
      </c>
    </row>
    <row r="160">
      <c r="A160" s="13" t="inlineStr">
        <is>
          <t>שגב-שלום</t>
        </is>
      </c>
      <c r="B160" s="18" t="n">
        <v>6516</v>
      </c>
      <c r="C160" s="18" t="n">
        <v>7872</v>
      </c>
      <c r="D160" s="18" t="n">
        <v>9229</v>
      </c>
      <c r="E160" s="18" t="n">
        <v>10585</v>
      </c>
      <c r="F160" s="18" t="n">
        <v>11941</v>
      </c>
      <c r="G160" s="18" t="n">
        <v>13298</v>
      </c>
      <c r="H160" s="18" t="n">
        <v>14654</v>
      </c>
      <c r="I160" s="18" t="n">
        <v>15695</v>
      </c>
      <c r="J160" s="18" t="n">
        <v>16736</v>
      </c>
      <c r="K160" s="18" t="n">
        <v>15473</v>
      </c>
      <c r="L160" s="18" t="n">
        <v>14210</v>
      </c>
      <c r="M160" s="16">
        <f>IF(B160&gt;0,(L160-B160)/B160,"")</f>
        <v/>
      </c>
    </row>
    <row r="161">
      <c r="A161" s="13" t="inlineStr">
        <is>
          <t>שדרות</t>
        </is>
      </c>
      <c r="B161" s="18" t="n">
        <v>25440</v>
      </c>
      <c r="C161" s="18" t="n">
        <v>26385</v>
      </c>
      <c r="D161" s="18" t="n">
        <v>27329</v>
      </c>
      <c r="E161" s="18" t="n">
        <v>28274</v>
      </c>
      <c r="F161" s="18" t="n">
        <v>29219</v>
      </c>
      <c r="G161" s="18" t="n">
        <v>30163</v>
      </c>
      <c r="H161" s="18" t="n">
        <v>31108</v>
      </c>
      <c r="I161" s="18" t="n">
        <v>34174</v>
      </c>
      <c r="J161" s="18" t="n">
        <v>37239</v>
      </c>
      <c r="K161" s="18" t="n">
        <v>38978</v>
      </c>
      <c r="L161" s="18" t="n">
        <v>40718</v>
      </c>
      <c r="M161" s="16">
        <f>IF(B161&gt;0,(L161-B161)/B161,"")</f>
        <v/>
      </c>
    </row>
    <row r="162">
      <c r="A162" s="13" t="inlineStr">
        <is>
          <t>שוהם</t>
        </is>
      </c>
      <c r="B162" s="18" t="n">
        <v>22401</v>
      </c>
      <c r="C162" s="18" t="n">
        <v>22196</v>
      </c>
      <c r="D162" s="18" t="n">
        <v>21991</v>
      </c>
      <c r="E162" s="18" t="n">
        <v>21786</v>
      </c>
      <c r="F162" s="18" t="n">
        <v>21581</v>
      </c>
      <c r="G162" s="18" t="n">
        <v>21376</v>
      </c>
      <c r="H162" s="18" t="n">
        <v>21171</v>
      </c>
      <c r="I162" s="18" t="n">
        <v>22382</v>
      </c>
      <c r="J162" s="18" t="n">
        <v>23592</v>
      </c>
      <c r="K162" s="18" t="n">
        <v>24322</v>
      </c>
      <c r="L162" s="18" t="n">
        <v>25051</v>
      </c>
      <c r="M162" s="16">
        <f>IF(B162&gt;0,(L162-B162)/B162,"")</f>
        <v/>
      </c>
    </row>
    <row r="163">
      <c r="A163" s="13" t="inlineStr">
        <is>
          <t>שלומי</t>
        </is>
      </c>
      <c r="B163" s="18" t="n">
        <v>6669</v>
      </c>
      <c r="C163" s="18" t="n">
        <v>6807</v>
      </c>
      <c r="D163" s="18" t="n">
        <v>6945</v>
      </c>
      <c r="E163" s="18" t="n">
        <v>7083</v>
      </c>
      <c r="F163" s="18" t="n">
        <v>7221</v>
      </c>
      <c r="G163" s="18" t="n">
        <v>7359</v>
      </c>
      <c r="H163" s="18" t="n">
        <v>7497</v>
      </c>
      <c r="I163" s="18" t="n">
        <v>7862</v>
      </c>
      <c r="J163" s="18" t="n">
        <v>8226</v>
      </c>
      <c r="K163" s="18" t="n">
        <v>8338</v>
      </c>
      <c r="L163" s="18" t="n">
        <v>8450</v>
      </c>
      <c r="M163" s="16">
        <f>IF(B163&gt;0,(L163-B163)/B163,"")</f>
        <v/>
      </c>
    </row>
    <row r="164">
      <c r="A164" s="13" t="inlineStr">
        <is>
          <t>שעב</t>
        </is>
      </c>
      <c r="B164" s="18" t="n">
        <v>7107</v>
      </c>
      <c r="C164" s="18" t="n">
        <v>7163</v>
      </c>
      <c r="D164" s="18" t="n">
        <v>7220</v>
      </c>
      <c r="E164" s="18" t="n">
        <v>7276</v>
      </c>
      <c r="F164" s="18" t="n">
        <v>7332</v>
      </c>
      <c r="G164" s="18" t="n">
        <v>7389</v>
      </c>
      <c r="H164" s="18" t="n">
        <v>7445</v>
      </c>
      <c r="I164" s="18" t="n">
        <v>7618</v>
      </c>
      <c r="J164" s="18" t="n">
        <v>7790</v>
      </c>
      <c r="K164" s="18" t="n">
        <v>7976</v>
      </c>
      <c r="L164" s="18" t="n">
        <v>8161</v>
      </c>
      <c r="M164" s="16">
        <f>IF(B164&gt;0,(L164-B164)/B164,"")</f>
        <v/>
      </c>
    </row>
    <row r="165">
      <c r="A165" s="13" t="inlineStr">
        <is>
          <t>שפרעם</t>
        </is>
      </c>
      <c r="B165" s="18" t="n">
        <v>40461</v>
      </c>
      <c r="C165" s="18" t="n">
        <v>40836</v>
      </c>
      <c r="D165" s="18" t="n">
        <v>41212</v>
      </c>
      <c r="E165" s="18" t="n">
        <v>41587</v>
      </c>
      <c r="F165" s="18" t="n">
        <v>41962</v>
      </c>
      <c r="G165" s="18" t="n">
        <v>42338</v>
      </c>
      <c r="H165" s="18" t="n">
        <v>42713</v>
      </c>
      <c r="I165" s="18" t="n">
        <v>43286</v>
      </c>
      <c r="J165" s="18" t="n">
        <v>43858</v>
      </c>
      <c r="K165" s="18" t="n">
        <v>44287</v>
      </c>
      <c r="L165" s="18" t="n">
        <v>44716</v>
      </c>
      <c r="M165" s="16">
        <f>IF(B165&gt;0,(L165-B165)/B165,"")</f>
        <v/>
      </c>
    </row>
    <row r="166">
      <c r="A166" s="13" t="inlineStr">
        <is>
          <t>תל אביב-יפו</t>
        </is>
      </c>
      <c r="B166" s="18" t="n">
        <v>342890</v>
      </c>
      <c r="C166" s="18" t="n">
        <v>367887</v>
      </c>
      <c r="D166" s="18" t="n">
        <v>392884</v>
      </c>
      <c r="E166" s="18" t="n">
        <v>417881</v>
      </c>
      <c r="F166" s="18" t="n">
        <v>442878</v>
      </c>
      <c r="G166" s="18" t="n">
        <v>467875</v>
      </c>
      <c r="H166" s="18" t="n">
        <v>492872</v>
      </c>
      <c r="I166" s="18" t="n">
        <v>493886</v>
      </c>
      <c r="J166" s="18" t="n">
        <v>494900</v>
      </c>
      <c r="K166" s="18" t="n">
        <v>479600</v>
      </c>
      <c r="L166" s="18" t="n">
        <v>464300</v>
      </c>
      <c r="M166" s="16">
        <f>IF(B166&gt;0,(L166-B166)/B166,"")</f>
        <v/>
      </c>
    </row>
    <row r="167">
      <c r="A167" s="13" t="inlineStr">
        <is>
          <t>תל מונד</t>
        </is>
      </c>
      <c r="B167" s="18" t="n">
        <v>13471</v>
      </c>
      <c r="C167" s="18" t="n">
        <v>13578</v>
      </c>
      <c r="D167" s="18" t="n">
        <v>13686</v>
      </c>
      <c r="E167" s="18" t="n">
        <v>13793</v>
      </c>
      <c r="F167" s="18" t="n">
        <v>13900</v>
      </c>
      <c r="G167" s="18" t="n">
        <v>14008</v>
      </c>
      <c r="H167" s="18" t="n">
        <v>14115</v>
      </c>
      <c r="I167" s="18" t="n">
        <v>14443</v>
      </c>
      <c r="J167" s="18" t="n">
        <v>14771</v>
      </c>
      <c r="K167" s="18" t="n">
        <v>15664</v>
      </c>
      <c r="L167" s="18" t="n">
        <v>16557</v>
      </c>
      <c r="M167" s="16">
        <f>IF(B167&gt;0,(L167-B167)/B167,"")</f>
        <v/>
      </c>
    </row>
    <row r="168">
      <c r="A168" s="13" t="inlineStr">
        <is>
          <t>תל שבע</t>
        </is>
      </c>
      <c r="B168" s="18" t="n">
        <v>17548</v>
      </c>
      <c r="C168" s="18" t="n">
        <v>18417</v>
      </c>
      <c r="D168" s="18" t="n">
        <v>19285</v>
      </c>
      <c r="E168" s="18" t="n">
        <v>20154</v>
      </c>
      <c r="F168" s="18" t="n">
        <v>21023</v>
      </c>
      <c r="G168" s="18" t="n">
        <v>21891</v>
      </c>
      <c r="H168" s="18" t="n">
        <v>22760</v>
      </c>
      <c r="I168" s="18" t="n">
        <v>23770</v>
      </c>
      <c r="J168" s="18" t="n">
        <v>24781</v>
      </c>
      <c r="K168" s="18" t="n">
        <v>24714</v>
      </c>
      <c r="L168" s="18" t="n">
        <v>24646</v>
      </c>
      <c r="M168" s="16">
        <f>IF(B168&gt;0,(L168-B168)/B168,"")</f>
        <v/>
      </c>
    </row>
  </sheetData>
  <autoFilter ref="A1:M16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50" customWidth="1" min="3" max="3"/>
    <col width="25" customWidth="1" min="4" max="4"/>
  </cols>
  <sheetData>
    <row r="1">
      <c r="A1" s="12" t="inlineStr">
        <is>
          <t>מקור</t>
        </is>
      </c>
      <c r="B1" s="12" t="inlineStr">
        <is>
          <t>סוג נתונים</t>
        </is>
      </c>
      <c r="C1" s="12" t="inlineStr">
        <is>
          <t>קישור / מזהה</t>
        </is>
      </c>
      <c r="D1" s="12" t="inlineStr">
        <is>
          <t>הערות</t>
        </is>
      </c>
    </row>
    <row r="2">
      <c r="A2" s="13" t="inlineStr">
        <is>
          <t>data.gov.il - מפקד 2022</t>
        </is>
      </c>
      <c r="B2" s="13" t="inlineStr">
        <is>
          <t>אוכלוסייה, משקי בית</t>
        </is>
      </c>
      <c r="C2" s="13" t="inlineStr">
        <is>
          <t>resource: 38207cf8-afe2-48ed-a3b0-c8f70c796015</t>
        </is>
      </c>
      <c r="D2" s="13" t="inlineStr">
        <is>
          <t>1222 יישובים</t>
        </is>
      </c>
    </row>
    <row r="3">
      <c r="A3" s="13" t="inlineStr">
        <is>
          <t>data.gov.il - מרשם אוכלוסין 2019</t>
        </is>
      </c>
      <c r="B3" s="13" t="inlineStr">
        <is>
          <t>אוכלוסייה לפי יישוב</t>
        </is>
      </c>
      <c r="C3" s="13" t="inlineStr">
        <is>
          <t>resource: a5e7080d-3c37-49c2-8cd0-cb2724809216</t>
        </is>
      </c>
      <c r="D3" s="13" t="inlineStr">
        <is>
          <t>נכון לאפריל 2019</t>
        </is>
      </c>
    </row>
    <row r="4">
      <c r="A4" s="13" t="inlineStr">
        <is>
          <t>data.gov.il - מרשם אוכלוסין 2026</t>
        </is>
      </c>
      <c r="B4" s="13" t="inlineStr">
        <is>
          <t>אוכלוסייה עדכני</t>
        </is>
      </c>
      <c r="C4" s="13" t="inlineStr">
        <is>
          <t>resource: 64edd0ee-3d5d-43ce-8562-c336c24dbc1f</t>
        </is>
      </c>
      <c r="D4" s="13" t="inlineStr">
        <is>
          <t>עדכון מרץ 2026</t>
        </is>
      </c>
    </row>
    <row r="5">
      <c r="A5" s="13" t="inlineStr">
        <is>
          <t>yadata.yad2.co.il</t>
        </is>
      </c>
      <c r="B5" s="13" t="inlineStr">
        <is>
          <t>נכסים למכירה, קונים, ימים ממוצע</t>
        </is>
      </c>
      <c r="C5" s="13" t="inlineStr">
        <is>
          <t>https://yadata.yad2.co.il/market/sale?city=XXXX</t>
        </is>
      </c>
      <c r="D5" s="13" t="inlineStr">
        <is>
          <t>46 ערים נסרקו</t>
        </is>
      </c>
    </row>
    <row r="6">
      <c r="A6" s="13" t="inlineStr">
        <is>
          <t>nadlan.gov.il</t>
        </is>
      </c>
      <c r="B6" s="13" t="inlineStr">
        <is>
          <t>מגמות מחירים חציוניים</t>
        </is>
      </c>
      <c r="C6" s="13" t="inlineStr">
        <is>
          <t>https://www.nadlan.gov.il/?view=settlement&amp;id=XXXX</t>
        </is>
      </c>
      <c r="D6" s="13" t="inlineStr">
        <is>
          <t>מחיר חציוני רבעוני</t>
        </is>
      </c>
    </row>
    <row r="7">
      <c r="A7" s="13" t="inlineStr">
        <is>
          <t>למ"ס - מחולל לוחות</t>
        </is>
      </c>
      <c r="B7" s="13" t="inlineStr">
        <is>
          <t>היתרי בנייה 2016-2024</t>
        </is>
      </c>
      <c r="C7" s="13" t="inlineStr">
        <is>
          <t>boardsgenerator.cbs.gov.il</t>
        </is>
      </c>
      <c r="D7" s="13" t="inlineStr">
        <is>
          <t>156 ערים</t>
        </is>
      </c>
    </row>
    <row r="8">
      <c r="A8" s="13" t="inlineStr">
        <is>
          <t>למ"ס - פרסומים</t>
        </is>
      </c>
      <c r="B8" s="13" t="inlineStr">
        <is>
          <t>מכירות דירות חדשות</t>
        </is>
      </c>
      <c r="C8" s="13" t="inlineStr">
        <is>
          <t>cbs.gov.il/he/mediarelease</t>
        </is>
      </c>
      <c r="D8" s="13" t="inlineStr">
        <is>
          <t>לפי שנה ורבעון</t>
        </is>
      </c>
    </row>
    <row r="9">
      <c r="A9" s="13" t="inlineStr">
        <is>
          <t>קובץ מחקר פנימי</t>
        </is>
      </c>
      <c r="B9" s="13" t="inlineStr">
        <is>
          <t>מחיר למ"ר, מכפיל הזהב</t>
        </is>
      </c>
      <c r="C9" s="13" t="inlineStr">
        <is>
          <t>data/cities_raw.json</t>
        </is>
      </c>
      <c r="D9" s="13" t="inlineStr">
        <is>
          <t>37 ערים מקוריות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2026-03-21T15:10:00Z</dcterms:created>
  <dcterms:modified xsi:type="dcterms:W3CDTF">2026-03-22T09:47:18Z</dcterms:modified>
</cp:coreProperties>
</file>